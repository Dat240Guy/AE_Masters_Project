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rad_School\!AE_Masters_Project\AE_Masters_Project\"/>
    </mc:Choice>
  </mc:AlternateContent>
  <xr:revisionPtr revIDLastSave="0" documentId="13_ncr:1_{4B39360B-986D-4596-8B25-B6B69E1CDCCA}" xr6:coauthVersionLast="47" xr6:coauthVersionMax="47" xr10:uidLastSave="{00000000-0000-0000-0000-000000000000}"/>
  <bookViews>
    <workbookView minimized="1" xWindow="-25950" yWindow="2535" windowWidth="21600" windowHeight="11295" xr2:uid="{1128A373-A5A3-4E59-831D-D46791B83792}"/>
    <workbookView xWindow="-28920" yWindow="-120" windowWidth="29040" windowHeight="15720" activeTab="1" xr2:uid="{951241DF-A69F-4CF6-8B1E-CD7800EAED3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" i="2" l="1"/>
  <c r="Z24" i="2"/>
  <c r="Z25" i="2"/>
  <c r="Z22" i="2"/>
  <c r="R23" i="2"/>
  <c r="S23" i="2"/>
  <c r="T23" i="2"/>
  <c r="U23" i="2"/>
  <c r="R24" i="2"/>
  <c r="S24" i="2"/>
  <c r="T24" i="2"/>
  <c r="U24" i="2"/>
  <c r="R25" i="2"/>
  <c r="S25" i="2"/>
  <c r="T25" i="2"/>
  <c r="U25" i="2"/>
  <c r="S22" i="2"/>
  <c r="T22" i="2"/>
  <c r="U22" i="2"/>
  <c r="R22" i="2"/>
  <c r="Y22" i="2" a="1"/>
  <c r="Y22" i="2" s="1"/>
  <c r="AA22" i="2" s="1"/>
  <c r="D14" i="2"/>
  <c r="P4" i="2" a="1"/>
  <c r="P4" i="2" s="1"/>
  <c r="D15" i="2" s="1"/>
  <c r="Q4" i="2" a="1"/>
  <c r="Q4" i="2" s="1"/>
  <c r="E15" i="2" s="1"/>
  <c r="R4" i="2" a="1"/>
  <c r="R4" i="2" s="1"/>
  <c r="F15" i="2" s="1"/>
  <c r="S4" i="2" a="1"/>
  <c r="S4" i="2" s="1"/>
  <c r="G15" i="2" s="1"/>
  <c r="P5" i="2" a="1"/>
  <c r="P5" i="2" s="1"/>
  <c r="D16" i="2" s="1"/>
  <c r="Q5" i="2" a="1"/>
  <c r="Q5" i="2" s="1"/>
  <c r="E16" i="2" s="1"/>
  <c r="R5" i="2" a="1"/>
  <c r="R5" i="2" s="1"/>
  <c r="F16" i="2" s="1"/>
  <c r="S5" i="2" a="1"/>
  <c r="S5" i="2" s="1"/>
  <c r="G16" i="2" s="1"/>
  <c r="P6" i="2" a="1"/>
  <c r="P6" i="2" s="1"/>
  <c r="D17" i="2" s="1"/>
  <c r="Q6" i="2" a="1"/>
  <c r="Q6" i="2" s="1"/>
  <c r="E17" i="2" s="1"/>
  <c r="R6" i="2" a="1"/>
  <c r="R6" i="2"/>
  <c r="F17" i="2" s="1"/>
  <c r="S6" i="2" a="1"/>
  <c r="S6" i="2" s="1"/>
  <c r="G17" i="2" s="1"/>
  <c r="P7" i="2" a="1"/>
  <c r="P7" i="2" s="1"/>
  <c r="D18" i="2" s="1"/>
  <c r="Q7" i="2" a="1"/>
  <c r="Q7" i="2" s="1"/>
  <c r="E18" i="2" s="1"/>
  <c r="R7" i="2" a="1"/>
  <c r="R7" i="2" s="1"/>
  <c r="F18" i="2" s="1"/>
  <c r="S7" i="2" a="1"/>
  <c r="S7" i="2" s="1"/>
  <c r="G18" i="2" s="1"/>
  <c r="P8" i="2" a="1"/>
  <c r="P8" i="2" s="1"/>
  <c r="D19" i="2" s="1"/>
  <c r="Q8" i="2" a="1"/>
  <c r="Q8" i="2" s="1"/>
  <c r="E19" i="2" s="1"/>
  <c r="R8" i="2" a="1"/>
  <c r="R8" i="2" s="1"/>
  <c r="F19" i="2" s="1"/>
  <c r="S8" i="2" a="1"/>
  <c r="S8" i="2"/>
  <c r="G19" i="2" s="1"/>
  <c r="P9" i="2" a="1"/>
  <c r="P9" i="2" s="1"/>
  <c r="D20" i="2" s="1"/>
  <c r="Q9" i="2" a="1"/>
  <c r="Q9" i="2"/>
  <c r="E20" i="2" s="1"/>
  <c r="R9" i="2" a="1"/>
  <c r="R9" i="2" s="1"/>
  <c r="F20" i="2" s="1"/>
  <c r="S9" i="2" a="1"/>
  <c r="S9" i="2" s="1"/>
  <c r="G20" i="2" s="1"/>
  <c r="P10" i="2" a="1"/>
  <c r="P10" i="2"/>
  <c r="D21" i="2" s="1"/>
  <c r="Q10" i="2" a="1"/>
  <c r="Q10" i="2" s="1"/>
  <c r="E21" i="2" s="1"/>
  <c r="R10" i="2" a="1"/>
  <c r="R10" i="2" s="1"/>
  <c r="F21" i="2" s="1"/>
  <c r="S10" i="2" a="1"/>
  <c r="S10" i="2" s="1"/>
  <c r="G21" i="2" s="1"/>
  <c r="Q3" i="2" a="1"/>
  <c r="Q3" i="2"/>
  <c r="E14" i="2" s="1"/>
  <c r="R3" i="2" a="1"/>
  <c r="R3" i="2" s="1"/>
  <c r="F14" i="2" s="1"/>
  <c r="S3" i="2" a="1"/>
  <c r="S3" i="2" s="1"/>
  <c r="G14" i="2" s="1"/>
  <c r="P3" i="2" a="1"/>
  <c r="P3" i="2" s="1"/>
  <c r="AI59" i="1"/>
  <c r="AH59" i="1"/>
  <c r="AG59" i="1"/>
  <c r="AF59" i="1"/>
  <c r="AE59" i="1"/>
  <c r="AD59" i="1"/>
  <c r="AC59" i="1"/>
  <c r="AB59" i="1"/>
  <c r="AI58" i="1"/>
  <c r="AH58" i="1"/>
  <c r="AG58" i="1"/>
  <c r="AF58" i="1"/>
  <c r="AE58" i="1"/>
  <c r="AD58" i="1"/>
  <c r="AC58" i="1"/>
  <c r="AB58" i="1"/>
  <c r="AI57" i="1"/>
  <c r="AH57" i="1"/>
  <c r="AG57" i="1"/>
  <c r="AF57" i="1"/>
  <c r="AE57" i="1"/>
  <c r="AD57" i="1"/>
  <c r="AC57" i="1"/>
  <c r="AB57" i="1"/>
  <c r="AI56" i="1"/>
  <c r="AH56" i="1"/>
  <c r="AG56" i="1"/>
  <c r="AF56" i="1"/>
  <c r="AE56" i="1"/>
  <c r="AD56" i="1"/>
  <c r="AC56" i="1"/>
  <c r="AB56" i="1"/>
  <c r="AI55" i="1"/>
  <c r="AH55" i="1"/>
  <c r="AG55" i="1"/>
  <c r="AF55" i="1"/>
  <c r="AE55" i="1"/>
  <c r="AD55" i="1"/>
  <c r="AC55" i="1"/>
  <c r="AB55" i="1"/>
  <c r="AI54" i="1"/>
  <c r="AH54" i="1"/>
  <c r="AG54" i="1"/>
  <c r="AF54" i="1"/>
  <c r="AE54" i="1"/>
  <c r="AD54" i="1"/>
  <c r="AC54" i="1"/>
  <c r="AB54" i="1"/>
  <c r="AI53" i="1"/>
  <c r="AH53" i="1"/>
  <c r="AG53" i="1"/>
  <c r="AF53" i="1"/>
  <c r="AE53" i="1"/>
  <c r="AD53" i="1"/>
  <c r="AC53" i="1"/>
  <c r="AB53" i="1"/>
  <c r="AI52" i="1"/>
  <c r="AH52" i="1"/>
  <c r="AG52" i="1"/>
  <c r="AF52" i="1"/>
  <c r="AE52" i="1"/>
  <c r="AD52" i="1"/>
  <c r="AC52" i="1"/>
  <c r="AB52" i="1"/>
  <c r="AI49" i="1"/>
  <c r="AH49" i="1"/>
  <c r="AG49" i="1"/>
  <c r="AF49" i="1"/>
  <c r="AE49" i="1"/>
  <c r="AD49" i="1"/>
  <c r="AC49" i="1"/>
  <c r="AB49" i="1"/>
  <c r="AI48" i="1"/>
  <c r="AH48" i="1"/>
  <c r="AG48" i="1"/>
  <c r="AF48" i="1"/>
  <c r="AE48" i="1"/>
  <c r="AD48" i="1"/>
  <c r="AC48" i="1"/>
  <c r="AB48" i="1"/>
  <c r="AI47" i="1"/>
  <c r="AH47" i="1"/>
  <c r="AG47" i="1"/>
  <c r="AF47" i="1"/>
  <c r="AE47" i="1"/>
  <c r="AD47" i="1"/>
  <c r="AC47" i="1"/>
  <c r="AB47" i="1"/>
  <c r="AI46" i="1"/>
  <c r="AH46" i="1"/>
  <c r="AG46" i="1"/>
  <c r="AF46" i="1"/>
  <c r="AE46" i="1"/>
  <c r="AD46" i="1"/>
  <c r="AC46" i="1"/>
  <c r="AB46" i="1"/>
  <c r="AI45" i="1"/>
  <c r="AH45" i="1"/>
  <c r="AG45" i="1"/>
  <c r="AF45" i="1"/>
  <c r="AE45" i="1"/>
  <c r="AD45" i="1"/>
  <c r="AC45" i="1"/>
  <c r="AB45" i="1"/>
  <c r="AI44" i="1"/>
  <c r="AH44" i="1"/>
  <c r="AG44" i="1"/>
  <c r="AF44" i="1"/>
  <c r="AE44" i="1"/>
  <c r="AD44" i="1"/>
  <c r="AC44" i="1"/>
  <c r="AB44" i="1"/>
  <c r="AI43" i="1"/>
  <c r="AH43" i="1"/>
  <c r="AG43" i="1"/>
  <c r="AF43" i="1"/>
  <c r="AE43" i="1"/>
  <c r="AD43" i="1"/>
  <c r="AC43" i="1"/>
  <c r="AB43" i="1"/>
  <c r="AI42" i="1"/>
  <c r="AH42" i="1"/>
  <c r="AG42" i="1"/>
  <c r="AF42" i="1"/>
  <c r="AE42" i="1"/>
  <c r="AD42" i="1"/>
  <c r="AC42" i="1"/>
  <c r="AB42" i="1"/>
  <c r="AI39" i="1"/>
  <c r="AH39" i="1"/>
  <c r="AG39" i="1"/>
  <c r="AF39" i="1"/>
  <c r="AE39" i="1"/>
  <c r="AD39" i="1"/>
  <c r="AC39" i="1"/>
  <c r="AB39" i="1"/>
  <c r="AI38" i="1"/>
  <c r="AH38" i="1"/>
  <c r="AG38" i="1"/>
  <c r="AF38" i="1"/>
  <c r="AE38" i="1"/>
  <c r="AD38" i="1"/>
  <c r="AC38" i="1"/>
  <c r="AB38" i="1"/>
  <c r="AI37" i="1"/>
  <c r="AH37" i="1"/>
  <c r="AG37" i="1"/>
  <c r="AF37" i="1"/>
  <c r="AE37" i="1"/>
  <c r="AD37" i="1"/>
  <c r="AC37" i="1"/>
  <c r="AB37" i="1"/>
  <c r="AI36" i="1"/>
  <c r="AH36" i="1"/>
  <c r="AG36" i="1"/>
  <c r="AF36" i="1"/>
  <c r="AE36" i="1"/>
  <c r="AD36" i="1"/>
  <c r="AC36" i="1"/>
  <c r="AB36" i="1"/>
  <c r="AI35" i="1"/>
  <c r="AH35" i="1"/>
  <c r="AG35" i="1"/>
  <c r="AF35" i="1"/>
  <c r="AE35" i="1"/>
  <c r="AD35" i="1"/>
  <c r="AC35" i="1"/>
  <c r="AB35" i="1"/>
  <c r="AI34" i="1"/>
  <c r="AH34" i="1"/>
  <c r="AG34" i="1"/>
  <c r="AF34" i="1"/>
  <c r="AE34" i="1"/>
  <c r="AD34" i="1"/>
  <c r="AC34" i="1"/>
  <c r="AB34" i="1"/>
  <c r="AI33" i="1"/>
  <c r="AH33" i="1"/>
  <c r="AG33" i="1"/>
  <c r="AF33" i="1"/>
  <c r="AE33" i="1"/>
  <c r="AD33" i="1"/>
  <c r="AC33" i="1"/>
  <c r="AB33" i="1"/>
  <c r="AI32" i="1"/>
  <c r="AH32" i="1"/>
  <c r="AG32" i="1"/>
  <c r="AF32" i="1"/>
  <c r="AE32" i="1"/>
  <c r="AD32" i="1"/>
  <c r="AC32" i="1"/>
  <c r="AB32" i="1"/>
  <c r="AB23" i="1"/>
  <c r="AC23" i="1"/>
  <c r="AD23" i="1"/>
  <c r="AE23" i="1"/>
  <c r="AF23" i="1"/>
  <c r="AG23" i="1"/>
  <c r="AH23" i="1"/>
  <c r="AI23" i="1"/>
  <c r="AB24" i="1"/>
  <c r="AC24" i="1"/>
  <c r="AD24" i="1"/>
  <c r="AE24" i="1"/>
  <c r="AF24" i="1"/>
  <c r="AG24" i="1"/>
  <c r="AH24" i="1"/>
  <c r="AI24" i="1"/>
  <c r="AB25" i="1"/>
  <c r="AC25" i="1"/>
  <c r="AD25" i="1"/>
  <c r="AE25" i="1"/>
  <c r="AF25" i="1"/>
  <c r="AG25" i="1"/>
  <c r="AH25" i="1"/>
  <c r="AI25" i="1"/>
  <c r="AB26" i="1"/>
  <c r="AC26" i="1"/>
  <c r="AD26" i="1"/>
  <c r="AE26" i="1"/>
  <c r="AF26" i="1"/>
  <c r="AG26" i="1"/>
  <c r="AH26" i="1"/>
  <c r="AI26" i="1"/>
  <c r="AB27" i="1"/>
  <c r="AC27" i="1"/>
  <c r="AD27" i="1"/>
  <c r="AE27" i="1"/>
  <c r="AF27" i="1"/>
  <c r="AG27" i="1"/>
  <c r="AH27" i="1"/>
  <c r="AI27" i="1"/>
  <c r="AB28" i="1"/>
  <c r="AC28" i="1"/>
  <c r="AD28" i="1"/>
  <c r="AE28" i="1"/>
  <c r="AF28" i="1"/>
  <c r="AG28" i="1"/>
  <c r="AH28" i="1"/>
  <c r="AI28" i="1"/>
  <c r="AB29" i="1"/>
  <c r="AC29" i="1"/>
  <c r="AD29" i="1"/>
  <c r="AE29" i="1"/>
  <c r="AF29" i="1"/>
  <c r="AG29" i="1"/>
  <c r="AH29" i="1"/>
  <c r="AI29" i="1"/>
  <c r="AC22" i="1"/>
  <c r="AD22" i="1"/>
  <c r="AE22" i="1"/>
  <c r="AF22" i="1"/>
  <c r="AG22" i="1"/>
  <c r="AH22" i="1"/>
  <c r="AI22" i="1"/>
  <c r="AB22" i="1"/>
  <c r="AC19" i="1"/>
  <c r="AB19" i="1"/>
  <c r="AA19" i="1"/>
  <c r="Z19" i="1"/>
  <c r="Y19" i="1"/>
  <c r="X19" i="1"/>
  <c r="W19" i="1"/>
  <c r="AC18" i="1"/>
  <c r="AB18" i="1"/>
  <c r="AA18" i="1"/>
  <c r="Z18" i="1"/>
  <c r="Y18" i="1"/>
  <c r="X18" i="1"/>
  <c r="W18" i="1"/>
  <c r="AC17" i="1"/>
  <c r="AB17" i="1"/>
  <c r="AA17" i="1"/>
  <c r="Z17" i="1"/>
  <c r="Y17" i="1"/>
  <c r="X17" i="1"/>
  <c r="W17" i="1"/>
  <c r="AC16" i="1"/>
  <c r="AB16" i="1"/>
  <c r="AA16" i="1"/>
  <c r="Z16" i="1"/>
  <c r="Y16" i="1"/>
  <c r="X16" i="1"/>
  <c r="W16" i="1"/>
  <c r="AC15" i="1"/>
  <c r="AB15" i="1"/>
  <c r="AA15" i="1"/>
  <c r="Z15" i="1"/>
  <c r="Y15" i="1"/>
  <c r="X15" i="1"/>
  <c r="W15" i="1"/>
  <c r="AC14" i="1"/>
  <c r="AB14" i="1"/>
  <c r="AA14" i="1"/>
  <c r="Z14" i="1"/>
  <c r="Y14" i="1"/>
  <c r="X14" i="1"/>
  <c r="W14" i="1"/>
  <c r="AC13" i="1"/>
  <c r="AB13" i="1"/>
  <c r="AA13" i="1"/>
  <c r="Z13" i="1"/>
  <c r="Y13" i="1"/>
  <c r="X13" i="1"/>
  <c r="W13" i="1"/>
  <c r="AC12" i="1"/>
  <c r="AB12" i="1"/>
  <c r="AA12" i="1"/>
  <c r="Z12" i="1"/>
  <c r="Y12" i="1"/>
  <c r="X12" i="1"/>
  <c r="W12" i="1"/>
  <c r="V3" i="1"/>
  <c r="W3" i="1"/>
  <c r="X3" i="1"/>
  <c r="Y3" i="1"/>
  <c r="Z3" i="1"/>
  <c r="AA3" i="1"/>
  <c r="AB3" i="1"/>
  <c r="AC3" i="1"/>
  <c r="V4" i="1"/>
  <c r="W4" i="1"/>
  <c r="X4" i="1"/>
  <c r="Y4" i="1"/>
  <c r="Z4" i="1"/>
  <c r="AA4" i="1"/>
  <c r="AB4" i="1"/>
  <c r="AC4" i="1"/>
  <c r="V5" i="1"/>
  <c r="W5" i="1"/>
  <c r="X5" i="1"/>
  <c r="Y5" i="1"/>
  <c r="Z5" i="1"/>
  <c r="AA5" i="1"/>
  <c r="AB5" i="1"/>
  <c r="AC5" i="1"/>
  <c r="V6" i="1"/>
  <c r="W6" i="1"/>
  <c r="X6" i="1"/>
  <c r="Y6" i="1"/>
  <c r="Z6" i="1"/>
  <c r="AA6" i="1"/>
  <c r="AB6" i="1"/>
  <c r="AC6" i="1"/>
  <c r="V7" i="1"/>
  <c r="W7" i="1"/>
  <c r="X7" i="1"/>
  <c r="Y7" i="1"/>
  <c r="Z7" i="1"/>
  <c r="AA7" i="1"/>
  <c r="AB7" i="1"/>
  <c r="AC7" i="1"/>
  <c r="V8" i="1"/>
  <c r="W8" i="1"/>
  <c r="X8" i="1"/>
  <c r="Y8" i="1"/>
  <c r="Z8" i="1"/>
  <c r="AA8" i="1"/>
  <c r="AB8" i="1"/>
  <c r="AC8" i="1"/>
  <c r="V9" i="1"/>
  <c r="W9" i="1"/>
  <c r="X9" i="1"/>
  <c r="Y9" i="1"/>
  <c r="Z9" i="1"/>
  <c r="AA9" i="1"/>
  <c r="AB9" i="1"/>
  <c r="AC9" i="1"/>
  <c r="W2" i="1"/>
  <c r="X2" i="1"/>
  <c r="Y2" i="1"/>
  <c r="Z2" i="1"/>
  <c r="AA2" i="1"/>
  <c r="AB2" i="1"/>
  <c r="AC2" i="1"/>
  <c r="V2" i="1"/>
  <c r="M16" i="2" l="1" a="1"/>
  <c r="M16" i="2" s="1"/>
  <c r="Y16" i="2" s="1" a="1"/>
  <c r="AA24" i="2"/>
  <c r="Y16" i="2" l="1"/>
  <c r="AA16" i="2" s="1"/>
  <c r="AA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<sst xmlns="http://schemas.openxmlformats.org/spreadsheetml/2006/main" count="61" uniqueCount="34">
  <si>
    <t>Kglobal LC1</t>
  </si>
  <si>
    <t>Ke LC1</t>
  </si>
  <si>
    <t>Ke LC2</t>
  </si>
  <si>
    <t>Kglobal LC2</t>
  </si>
  <si>
    <t>Kglobal Clean</t>
  </si>
  <si>
    <t>Ke LC3</t>
  </si>
  <si>
    <t>Kglobal LC3</t>
  </si>
  <si>
    <t>Ke LC4</t>
  </si>
  <si>
    <t>Kglobal LC4</t>
  </si>
  <si>
    <t>Ke LC5</t>
  </si>
  <si>
    <t>Kglobal LC5</t>
  </si>
  <si>
    <t>Ke LC6</t>
  </si>
  <si>
    <t>Kglobal LC6</t>
  </si>
  <si>
    <t>ID</t>
  </si>
  <si>
    <t>CSys ID</t>
  </si>
  <si>
    <t>X</t>
  </si>
  <si>
    <t>Y</t>
  </si>
  <si>
    <t>Z</t>
  </si>
  <si>
    <t>Vector ID</t>
  </si>
  <si>
    <t>Title</t>
  </si>
  <si>
    <t>1..Simcenter NASTRAN Case 1</t>
  </si>
  <si>
    <t>2..Simcenter NASTRAN Case 1</t>
  </si>
  <si>
    <t>3..Simcenter NASTRAN Case 1</t>
  </si>
  <si>
    <t>4..Simcenter NASTRAN Case 1</t>
  </si>
  <si>
    <t>T1 Translation</t>
  </si>
  <si>
    <t>T2 Translation</t>
  </si>
  <si>
    <t>x</t>
  </si>
  <si>
    <t>y</t>
  </si>
  <si>
    <t>Node</t>
  </si>
  <si>
    <t>Dof</t>
  </si>
  <si>
    <t>Displacements</t>
  </si>
  <si>
    <t>Forces</t>
  </si>
  <si>
    <t>Ke/kGlobal</t>
  </si>
  <si>
    <t>VS Code 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</si>
</sst>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.25"/>
      <color rgb="FF000000"/>
      <name val="Segoe UI"/>
      <family val="2"/>
    </font>
    <font>
      <sz val="8.2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DB64-2D50-4B83-A2DF-177C7C573044}">
  <dimension ref="B1:AI59"/>
  <sheetViews>
    <sheetView tabSelected="1" workbookViewId="0">
      <selection activeCell="W22" sqref="W22:Z25"/>
    </sheetView>
    <sheetView topLeftCell="A33" workbookViewId="1"/>
  </sheetViews>
  <sheetFormatPr defaultRowHeight="15" x14ac:dyDescent="0.25"/>
  <sheetData>
    <row r="1" spans="2:29" x14ac:dyDescent="0.25">
      <c r="B1" s="1" t="s">
        <v>1</v>
      </c>
      <c r="C1" s="1"/>
      <c r="D1" s="1"/>
      <c r="E1" s="1"/>
      <c r="F1" s="1"/>
      <c r="G1" s="1"/>
      <c r="H1" s="1"/>
      <c r="I1" s="1"/>
      <c r="J1" s="1"/>
      <c r="L1" s="1" t="s">
        <v>0</v>
      </c>
      <c r="M1" s="1"/>
      <c r="N1" s="1"/>
      <c r="O1" s="1"/>
      <c r="P1" s="1"/>
      <c r="Q1" s="1"/>
      <c r="R1" s="1"/>
      <c r="S1" s="1"/>
      <c r="T1" s="1"/>
      <c r="V1">
        <v>0</v>
      </c>
      <c r="W1">
        <v>1</v>
      </c>
      <c r="X1">
        <v>2</v>
      </c>
      <c r="Y1">
        <v>3</v>
      </c>
      <c r="Z1">
        <v>4</v>
      </c>
      <c r="AA1">
        <v>5</v>
      </c>
      <c r="AB1">
        <v>6</v>
      </c>
      <c r="AC1">
        <v>7</v>
      </c>
    </row>
    <row r="2" spans="2:29" x14ac:dyDescent="0.25">
      <c r="B2">
        <v>0</v>
      </c>
      <c r="C2">
        <v>1335848.95073504</v>
      </c>
      <c r="D2">
        <v>499067.16417910397</v>
      </c>
      <c r="E2">
        <v>-833029.40186286601</v>
      </c>
      <c r="F2">
        <v>-3752.38469307594</v>
      </c>
      <c r="G2">
        <v>-667924.47536752303</v>
      </c>
      <c r="H2">
        <v>-499067.16417910397</v>
      </c>
      <c r="I2">
        <v>165104.92649534199</v>
      </c>
      <c r="J2">
        <v>3752.3846930759501</v>
      </c>
      <c r="L2">
        <v>0</v>
      </c>
      <c r="M2">
        <v>1335848.95073504</v>
      </c>
      <c r="N2">
        <v>499067.16417910397</v>
      </c>
      <c r="O2">
        <v>-833029.40186286601</v>
      </c>
      <c r="P2">
        <v>-3752.38469307594</v>
      </c>
      <c r="Q2">
        <v>-667924.47536752303</v>
      </c>
      <c r="R2">
        <v>-499067.16417910397</v>
      </c>
      <c r="S2">
        <v>165104.92649534199</v>
      </c>
      <c r="T2">
        <v>3752.3846930759501</v>
      </c>
      <c r="V2">
        <f>M2-C2</f>
        <v>0</v>
      </c>
      <c r="W2">
        <f t="shared" ref="W2:AC2" si="0">N2-D2</f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</row>
    <row r="3" spans="2:29" x14ac:dyDescent="0.25">
      <c r="B3">
        <v>1</v>
      </c>
      <c r="C3">
        <v>499067.16417910397</v>
      </c>
      <c r="D3">
        <v>1335848.95073504</v>
      </c>
      <c r="E3">
        <v>3752.38469307592</v>
      </c>
      <c r="F3">
        <v>165104.92649534199</v>
      </c>
      <c r="G3">
        <v>-499067.16417910397</v>
      </c>
      <c r="H3">
        <v>-667924.47536752303</v>
      </c>
      <c r="I3">
        <v>-3752.38469307593</v>
      </c>
      <c r="J3">
        <v>-833029.40186286601</v>
      </c>
      <c r="L3">
        <v>1</v>
      </c>
      <c r="M3">
        <v>499067.16417910397</v>
      </c>
      <c r="N3">
        <v>1335848.95073504</v>
      </c>
      <c r="O3">
        <v>3752.38469307592</v>
      </c>
      <c r="P3">
        <v>165104.92649534199</v>
      </c>
      <c r="Q3">
        <v>-499067.16417910397</v>
      </c>
      <c r="R3">
        <v>-667924.47536752303</v>
      </c>
      <c r="S3">
        <v>-3752.38469307593</v>
      </c>
      <c r="T3">
        <v>-833029.40186286601</v>
      </c>
      <c r="V3">
        <f t="shared" ref="V3:V9" si="1">M3-C3</f>
        <v>0</v>
      </c>
      <c r="W3">
        <f t="shared" ref="W3:W9" si="2">N3-D3</f>
        <v>0</v>
      </c>
      <c r="X3">
        <f t="shared" ref="X3:X9" si="3">O3-E3</f>
        <v>0</v>
      </c>
      <c r="Y3">
        <f t="shared" ref="Y3:Y9" si="4">P3-F3</f>
        <v>0</v>
      </c>
      <c r="Z3">
        <f t="shared" ref="Z3:Z9" si="5">Q3-G3</f>
        <v>0</v>
      </c>
      <c r="AA3">
        <f t="shared" ref="AA3:AA9" si="6">R3-H3</f>
        <v>0</v>
      </c>
      <c r="AB3">
        <f t="shared" ref="AB3:AB9" si="7">S3-I3</f>
        <v>0</v>
      </c>
      <c r="AC3">
        <f t="shared" ref="AC3:AC9" si="8">T3-J3</f>
        <v>0</v>
      </c>
    </row>
    <row r="4" spans="2:29" x14ac:dyDescent="0.25">
      <c r="B4">
        <v>2</v>
      </c>
      <c r="C4">
        <v>-833029.40186286601</v>
      </c>
      <c r="D4">
        <v>3752.38469307592</v>
      </c>
      <c r="E4">
        <v>1335848.95073504</v>
      </c>
      <c r="F4">
        <v>-499067.16417910397</v>
      </c>
      <c r="G4">
        <v>165104.92649534199</v>
      </c>
      <c r="H4">
        <v>-3752.3846930759601</v>
      </c>
      <c r="I4">
        <v>-667924.47536752303</v>
      </c>
      <c r="J4">
        <v>499067.16417910397</v>
      </c>
      <c r="L4">
        <v>2</v>
      </c>
      <c r="M4">
        <v>-833029.40186286601</v>
      </c>
      <c r="N4">
        <v>3752.38469307592</v>
      </c>
      <c r="O4">
        <v>1335848.95073504</v>
      </c>
      <c r="P4">
        <v>-499067.16417910397</v>
      </c>
      <c r="Q4">
        <v>165104.92649534199</v>
      </c>
      <c r="R4">
        <v>-3752.3846930759601</v>
      </c>
      <c r="S4">
        <v>-667924.47536752303</v>
      </c>
      <c r="T4">
        <v>499067.16417910397</v>
      </c>
      <c r="V4">
        <f t="shared" si="1"/>
        <v>0</v>
      </c>
      <c r="W4">
        <f t="shared" si="2"/>
        <v>0</v>
      </c>
      <c r="X4">
        <f t="shared" si="3"/>
        <v>0</v>
      </c>
      <c r="Y4">
        <f t="shared" si="4"/>
        <v>0</v>
      </c>
      <c r="Z4">
        <f t="shared" si="5"/>
        <v>0</v>
      </c>
      <c r="AA4">
        <f t="shared" si="6"/>
        <v>0</v>
      </c>
      <c r="AB4">
        <f t="shared" si="7"/>
        <v>0</v>
      </c>
      <c r="AC4">
        <f t="shared" si="8"/>
        <v>0</v>
      </c>
    </row>
    <row r="5" spans="2:29" x14ac:dyDescent="0.25">
      <c r="B5">
        <v>3</v>
      </c>
      <c r="C5">
        <v>-3752.38469307594</v>
      </c>
      <c r="D5">
        <v>165104.92649534199</v>
      </c>
      <c r="E5">
        <v>-499067.16417910397</v>
      </c>
      <c r="F5">
        <v>1335848.95073504</v>
      </c>
      <c r="G5">
        <v>3752.38469307593</v>
      </c>
      <c r="H5">
        <v>-833029.40186286601</v>
      </c>
      <c r="I5">
        <v>499067.16417910397</v>
      </c>
      <c r="J5">
        <v>-667924.47536752303</v>
      </c>
      <c r="L5">
        <v>3</v>
      </c>
      <c r="M5">
        <v>-3752.38469307594</v>
      </c>
      <c r="N5">
        <v>165104.92649534199</v>
      </c>
      <c r="O5">
        <v>-499067.16417910397</v>
      </c>
      <c r="P5">
        <v>1335848.95073504</v>
      </c>
      <c r="Q5">
        <v>3752.38469307593</v>
      </c>
      <c r="R5">
        <v>-833029.40186286601</v>
      </c>
      <c r="S5">
        <v>499067.16417910397</v>
      </c>
      <c r="T5">
        <v>-667924.47536752303</v>
      </c>
      <c r="V5">
        <f t="shared" si="1"/>
        <v>0</v>
      </c>
      <c r="W5">
        <f t="shared" si="2"/>
        <v>0</v>
      </c>
      <c r="X5">
        <f t="shared" si="3"/>
        <v>0</v>
      </c>
      <c r="Y5">
        <f t="shared" si="4"/>
        <v>0</v>
      </c>
      <c r="Z5">
        <f t="shared" si="5"/>
        <v>0</v>
      </c>
      <c r="AA5">
        <f t="shared" si="6"/>
        <v>0</v>
      </c>
      <c r="AB5">
        <f t="shared" si="7"/>
        <v>0</v>
      </c>
      <c r="AC5">
        <f t="shared" si="8"/>
        <v>0</v>
      </c>
    </row>
    <row r="6" spans="2:29" x14ac:dyDescent="0.25">
      <c r="B6">
        <v>4</v>
      </c>
      <c r="C6">
        <v>-667924.47536752303</v>
      </c>
      <c r="D6">
        <v>-499067.16417910397</v>
      </c>
      <c r="E6">
        <v>165104.92649534199</v>
      </c>
      <c r="F6">
        <v>3752.38469307594</v>
      </c>
      <c r="G6">
        <v>1335848.95073504</v>
      </c>
      <c r="H6">
        <v>499067.16417910397</v>
      </c>
      <c r="I6">
        <v>-833029.40186286601</v>
      </c>
      <c r="J6">
        <v>-3752.3846930759701</v>
      </c>
      <c r="L6">
        <v>4</v>
      </c>
      <c r="M6">
        <v>-667924.47536752303</v>
      </c>
      <c r="N6">
        <v>-499067.16417910397</v>
      </c>
      <c r="O6">
        <v>165104.92649534199</v>
      </c>
      <c r="P6">
        <v>3752.38469307594</v>
      </c>
      <c r="Q6">
        <v>1335848.95073504</v>
      </c>
      <c r="R6">
        <v>499067.16417910397</v>
      </c>
      <c r="S6">
        <v>-833029.40186286601</v>
      </c>
      <c r="T6">
        <v>-3752.3846930759701</v>
      </c>
      <c r="V6">
        <f t="shared" si="1"/>
        <v>0</v>
      </c>
      <c r="W6">
        <f t="shared" si="2"/>
        <v>0</v>
      </c>
      <c r="X6">
        <f t="shared" si="3"/>
        <v>0</v>
      </c>
      <c r="Y6">
        <f t="shared" si="4"/>
        <v>0</v>
      </c>
      <c r="Z6">
        <f t="shared" si="5"/>
        <v>0</v>
      </c>
      <c r="AA6">
        <f t="shared" si="6"/>
        <v>0</v>
      </c>
      <c r="AB6">
        <f t="shared" si="7"/>
        <v>0</v>
      </c>
      <c r="AC6">
        <f t="shared" si="8"/>
        <v>0</v>
      </c>
    </row>
    <row r="7" spans="2:29" x14ac:dyDescent="0.25">
      <c r="B7">
        <v>5</v>
      </c>
      <c r="C7">
        <v>-499067.16417910397</v>
      </c>
      <c r="D7">
        <v>-667924.47536752303</v>
      </c>
      <c r="E7">
        <v>-3752.3846930759601</v>
      </c>
      <c r="F7">
        <v>-833029.40186286601</v>
      </c>
      <c r="G7">
        <v>499067.16417910397</v>
      </c>
      <c r="H7">
        <v>1335848.95073504</v>
      </c>
      <c r="I7">
        <v>3752.38469307594</v>
      </c>
      <c r="J7">
        <v>165104.92649534199</v>
      </c>
      <c r="L7">
        <v>5</v>
      </c>
      <c r="M7">
        <v>-499067.16417910397</v>
      </c>
      <c r="N7">
        <v>-667924.47536752303</v>
      </c>
      <c r="O7">
        <v>-3752.3846930759601</v>
      </c>
      <c r="P7">
        <v>-833029.40186286601</v>
      </c>
      <c r="Q7">
        <v>499067.16417910397</v>
      </c>
      <c r="R7">
        <v>1335848.95073504</v>
      </c>
      <c r="S7">
        <v>3752.38469307594</v>
      </c>
      <c r="T7">
        <v>165104.92649534199</v>
      </c>
      <c r="V7">
        <f t="shared" si="1"/>
        <v>0</v>
      </c>
      <c r="W7">
        <f t="shared" si="2"/>
        <v>0</v>
      </c>
      <c r="X7">
        <f t="shared" si="3"/>
        <v>0</v>
      </c>
      <c r="Y7">
        <f t="shared" si="4"/>
        <v>0</v>
      </c>
      <c r="Z7">
        <f t="shared" si="5"/>
        <v>0</v>
      </c>
      <c r="AA7">
        <f t="shared" si="6"/>
        <v>0</v>
      </c>
      <c r="AB7">
        <f t="shared" si="7"/>
        <v>0</v>
      </c>
      <c r="AC7">
        <f t="shared" si="8"/>
        <v>0</v>
      </c>
    </row>
    <row r="8" spans="2:29" x14ac:dyDescent="0.25">
      <c r="B8">
        <v>6</v>
      </c>
      <c r="C8">
        <v>165104.92649534199</v>
      </c>
      <c r="D8">
        <v>-3752.38469307594</v>
      </c>
      <c r="E8">
        <v>-667924.47536752303</v>
      </c>
      <c r="F8">
        <v>499067.16417910397</v>
      </c>
      <c r="G8">
        <v>-833029.40186286601</v>
      </c>
      <c r="H8">
        <v>3752.3846930759701</v>
      </c>
      <c r="I8">
        <v>1335848.95073504</v>
      </c>
      <c r="J8">
        <v>-499067.16417910397</v>
      </c>
      <c r="L8">
        <v>6</v>
      </c>
      <c r="M8">
        <v>165104.92649534199</v>
      </c>
      <c r="N8">
        <v>-3752.38469307594</v>
      </c>
      <c r="O8">
        <v>-667924.47536752303</v>
      </c>
      <c r="P8">
        <v>499067.16417910397</v>
      </c>
      <c r="Q8">
        <v>-833029.40186286601</v>
      </c>
      <c r="R8">
        <v>3752.3846930759701</v>
      </c>
      <c r="S8">
        <v>1335848.95073504</v>
      </c>
      <c r="T8">
        <v>-499067.16417910397</v>
      </c>
      <c r="V8">
        <f t="shared" si="1"/>
        <v>0</v>
      </c>
      <c r="W8">
        <f t="shared" si="2"/>
        <v>0</v>
      </c>
      <c r="X8">
        <f t="shared" si="3"/>
        <v>0</v>
      </c>
      <c r="Y8">
        <f t="shared" si="4"/>
        <v>0</v>
      </c>
      <c r="Z8">
        <f t="shared" si="5"/>
        <v>0</v>
      </c>
      <c r="AA8">
        <f t="shared" si="6"/>
        <v>0</v>
      </c>
      <c r="AB8">
        <f t="shared" si="7"/>
        <v>0</v>
      </c>
      <c r="AC8">
        <f t="shared" si="8"/>
        <v>0</v>
      </c>
    </row>
    <row r="9" spans="2:29" x14ac:dyDescent="0.25">
      <c r="B9">
        <v>7</v>
      </c>
      <c r="C9">
        <v>3752.3846930759701</v>
      </c>
      <c r="D9">
        <v>-833029.40186286601</v>
      </c>
      <c r="E9">
        <v>499067.16417910397</v>
      </c>
      <c r="F9">
        <v>-667924.47536752303</v>
      </c>
      <c r="G9">
        <v>-3752.3846930759701</v>
      </c>
      <c r="H9">
        <v>165104.92649534199</v>
      </c>
      <c r="I9">
        <v>-499067.16417910397</v>
      </c>
      <c r="J9">
        <v>1335848.95073504</v>
      </c>
      <c r="L9">
        <v>7</v>
      </c>
      <c r="M9">
        <v>3752.3846930759701</v>
      </c>
      <c r="N9">
        <v>-833029.40186286601</v>
      </c>
      <c r="O9">
        <v>499067.16417910397</v>
      </c>
      <c r="P9">
        <v>-667924.47536752303</v>
      </c>
      <c r="Q9">
        <v>-3752.3846930759701</v>
      </c>
      <c r="R9">
        <v>165104.92649534199</v>
      </c>
      <c r="S9">
        <v>-499067.16417910397</v>
      </c>
      <c r="T9">
        <v>1335848.95073504</v>
      </c>
      <c r="V9">
        <f t="shared" si="1"/>
        <v>0</v>
      </c>
      <c r="W9">
        <f t="shared" si="2"/>
        <v>0</v>
      </c>
      <c r="X9">
        <f t="shared" si="3"/>
        <v>0</v>
      </c>
      <c r="Y9">
        <f t="shared" si="4"/>
        <v>0</v>
      </c>
      <c r="Z9">
        <f t="shared" si="5"/>
        <v>0</v>
      </c>
      <c r="AA9">
        <f t="shared" si="6"/>
        <v>0</v>
      </c>
      <c r="AB9">
        <f t="shared" si="7"/>
        <v>0</v>
      </c>
      <c r="AC9">
        <f t="shared" si="8"/>
        <v>0</v>
      </c>
    </row>
    <row r="11" spans="2:29" x14ac:dyDescent="0.25">
      <c r="B11" s="1" t="s">
        <v>2</v>
      </c>
      <c r="C11" s="1"/>
      <c r="D11" s="1"/>
      <c r="E11" s="1"/>
      <c r="F11" s="1"/>
      <c r="G11" s="1"/>
      <c r="H11" s="1"/>
      <c r="I11" s="1"/>
      <c r="J11" s="1"/>
      <c r="L11" s="1" t="s">
        <v>3</v>
      </c>
      <c r="M11" s="1"/>
      <c r="N11" s="1"/>
      <c r="O11" s="1"/>
      <c r="P11" s="1"/>
      <c r="Q11" s="1"/>
      <c r="R11" s="1"/>
      <c r="S11" s="1"/>
      <c r="T11" s="1"/>
    </row>
    <row r="12" spans="2:29" x14ac:dyDescent="0.25">
      <c r="B12">
        <v>0</v>
      </c>
      <c r="C12">
        <v>1335848.95073504</v>
      </c>
      <c r="D12">
        <v>499067.16417910397</v>
      </c>
      <c r="E12">
        <v>-833029.40186286601</v>
      </c>
      <c r="F12">
        <v>-3752.38469307594</v>
      </c>
      <c r="G12">
        <v>-667924.47536752303</v>
      </c>
      <c r="H12">
        <v>-499067.16417910397</v>
      </c>
      <c r="I12">
        <v>165104.92649534199</v>
      </c>
      <c r="J12">
        <v>3752.3846930759501</v>
      </c>
      <c r="L12">
        <v>0</v>
      </c>
      <c r="M12">
        <v>1335848.95073504</v>
      </c>
      <c r="N12">
        <v>499067.16417910397</v>
      </c>
      <c r="O12">
        <v>-833029.40186286601</v>
      </c>
      <c r="P12">
        <v>-3752.38469307594</v>
      </c>
      <c r="Q12">
        <v>-667924.47536752303</v>
      </c>
      <c r="R12">
        <v>-499067.16417910397</v>
      </c>
      <c r="S12">
        <v>165104.92649534199</v>
      </c>
      <c r="T12">
        <v>3752.3846930759501</v>
      </c>
      <c r="W12">
        <f t="shared" ref="W12:W19" si="9">N12-D12</f>
        <v>0</v>
      </c>
      <c r="X12">
        <f t="shared" ref="X12:X19" si="10">O12-E12</f>
        <v>0</v>
      </c>
      <c r="Y12">
        <f t="shared" ref="Y12:Y19" si="11">P12-F12</f>
        <v>0</v>
      </c>
      <c r="Z12">
        <f t="shared" ref="Z12:Z19" si="12">Q12-G12</f>
        <v>0</v>
      </c>
      <c r="AA12">
        <f t="shared" ref="AA12:AA19" si="13">R12-H12</f>
        <v>0</v>
      </c>
      <c r="AB12">
        <f t="shared" ref="AB12:AB19" si="14">S12-I12</f>
        <v>0</v>
      </c>
      <c r="AC12">
        <f t="shared" ref="AC12:AC19" si="15">T12-J12</f>
        <v>0</v>
      </c>
    </row>
    <row r="13" spans="2:29" x14ac:dyDescent="0.25">
      <c r="B13">
        <v>1</v>
      </c>
      <c r="C13">
        <v>499067.16417910397</v>
      </c>
      <c r="D13">
        <v>1335848.95073504</v>
      </c>
      <c r="E13">
        <v>3752.38469307592</v>
      </c>
      <c r="F13">
        <v>165104.92649534199</v>
      </c>
      <c r="G13">
        <v>-499067.16417910397</v>
      </c>
      <c r="H13">
        <v>-667924.47536752303</v>
      </c>
      <c r="I13">
        <v>-3752.38469307593</v>
      </c>
      <c r="J13">
        <v>-833029.40186286601</v>
      </c>
      <c r="L13">
        <v>1</v>
      </c>
      <c r="M13">
        <v>499067.16417910397</v>
      </c>
      <c r="N13">
        <v>1335848.95073504</v>
      </c>
      <c r="O13">
        <v>3752.38469307592</v>
      </c>
      <c r="P13">
        <v>165104.92649534199</v>
      </c>
      <c r="Q13">
        <v>-499067.16417910397</v>
      </c>
      <c r="R13">
        <v>-667924.47536752303</v>
      </c>
      <c r="S13">
        <v>-3752.38469307593</v>
      </c>
      <c r="T13">
        <v>-833029.40186286601</v>
      </c>
      <c r="W13">
        <f t="shared" si="9"/>
        <v>0</v>
      </c>
      <c r="X13">
        <f t="shared" si="10"/>
        <v>0</v>
      </c>
      <c r="Y13">
        <f t="shared" si="11"/>
        <v>0</v>
      </c>
      <c r="Z13">
        <f t="shared" si="12"/>
        <v>0</v>
      </c>
      <c r="AA13">
        <f t="shared" si="13"/>
        <v>0</v>
      </c>
      <c r="AB13">
        <f t="shared" si="14"/>
        <v>0</v>
      </c>
      <c r="AC13">
        <f t="shared" si="15"/>
        <v>0</v>
      </c>
    </row>
    <row r="14" spans="2:29" x14ac:dyDescent="0.25">
      <c r="B14">
        <v>2</v>
      </c>
      <c r="C14">
        <v>-833029.40186286601</v>
      </c>
      <c r="D14">
        <v>3752.38469307592</v>
      </c>
      <c r="E14">
        <v>1335848.95073504</v>
      </c>
      <c r="F14">
        <v>-499067.16417910397</v>
      </c>
      <c r="G14">
        <v>165104.92649534199</v>
      </c>
      <c r="H14">
        <v>-3752.3846930759601</v>
      </c>
      <c r="I14">
        <v>-667924.47536752303</v>
      </c>
      <c r="J14">
        <v>499067.16417910397</v>
      </c>
      <c r="L14">
        <v>2</v>
      </c>
      <c r="M14">
        <v>-833029.40186286601</v>
      </c>
      <c r="N14">
        <v>3752.38469307592</v>
      </c>
      <c r="O14">
        <v>1335848.95073504</v>
      </c>
      <c r="P14">
        <v>-499067.16417910397</v>
      </c>
      <c r="Q14">
        <v>165104.92649534199</v>
      </c>
      <c r="R14">
        <v>-3752.3846930759601</v>
      </c>
      <c r="S14">
        <v>-667924.47536752303</v>
      </c>
      <c r="T14">
        <v>499067.16417910397</v>
      </c>
      <c r="W14">
        <f t="shared" si="9"/>
        <v>0</v>
      </c>
      <c r="X14">
        <f t="shared" si="10"/>
        <v>0</v>
      </c>
      <c r="Y14">
        <f t="shared" si="11"/>
        <v>0</v>
      </c>
      <c r="Z14">
        <f t="shared" si="12"/>
        <v>0</v>
      </c>
      <c r="AA14">
        <f t="shared" si="13"/>
        <v>0</v>
      </c>
      <c r="AB14">
        <f t="shared" si="14"/>
        <v>0</v>
      </c>
      <c r="AC14">
        <f t="shared" si="15"/>
        <v>0</v>
      </c>
    </row>
    <row r="15" spans="2:29" x14ac:dyDescent="0.25">
      <c r="B15">
        <v>3</v>
      </c>
      <c r="C15">
        <v>-3752.38469307594</v>
      </c>
      <c r="D15">
        <v>165104.92649534199</v>
      </c>
      <c r="E15">
        <v>-499067.16417910397</v>
      </c>
      <c r="F15">
        <v>1335848.95073504</v>
      </c>
      <c r="G15">
        <v>3752.38469307593</v>
      </c>
      <c r="H15">
        <v>-833029.40186286601</v>
      </c>
      <c r="I15">
        <v>499067.16417910397</v>
      </c>
      <c r="J15">
        <v>-667924.47536752303</v>
      </c>
      <c r="L15">
        <v>3</v>
      </c>
      <c r="M15">
        <v>-3752.38469307594</v>
      </c>
      <c r="N15">
        <v>165104.92649534199</v>
      </c>
      <c r="O15">
        <v>-499067.16417910397</v>
      </c>
      <c r="P15">
        <v>1335848.95073504</v>
      </c>
      <c r="Q15">
        <v>3752.38469307593</v>
      </c>
      <c r="R15">
        <v>-833029.40186286601</v>
      </c>
      <c r="S15">
        <v>499067.16417910397</v>
      </c>
      <c r="T15">
        <v>-667924.47536752303</v>
      </c>
      <c r="W15">
        <f t="shared" si="9"/>
        <v>0</v>
      </c>
      <c r="X15">
        <f t="shared" si="10"/>
        <v>0</v>
      </c>
      <c r="Y15">
        <f t="shared" si="11"/>
        <v>0</v>
      </c>
      <c r="Z15">
        <f t="shared" si="12"/>
        <v>0</v>
      </c>
      <c r="AA15">
        <f t="shared" si="13"/>
        <v>0</v>
      </c>
      <c r="AB15">
        <f t="shared" si="14"/>
        <v>0</v>
      </c>
      <c r="AC15">
        <f t="shared" si="15"/>
        <v>0</v>
      </c>
    </row>
    <row r="16" spans="2:29" x14ac:dyDescent="0.25">
      <c r="B16">
        <v>4</v>
      </c>
      <c r="C16">
        <v>-667924.47536752303</v>
      </c>
      <c r="D16">
        <v>-499067.16417910397</v>
      </c>
      <c r="E16">
        <v>165104.92649534199</v>
      </c>
      <c r="F16">
        <v>3752.38469307594</v>
      </c>
      <c r="G16">
        <v>1335848.95073504</v>
      </c>
      <c r="H16">
        <v>499067.16417910397</v>
      </c>
      <c r="I16">
        <v>-833029.40186286601</v>
      </c>
      <c r="J16">
        <v>-3752.3846930759701</v>
      </c>
      <c r="L16">
        <v>4</v>
      </c>
      <c r="M16">
        <v>-667924.47536752303</v>
      </c>
      <c r="N16">
        <v>-499067.16417910397</v>
      </c>
      <c r="O16">
        <v>165104.92649534199</v>
      </c>
      <c r="P16">
        <v>3752.38469307594</v>
      </c>
      <c r="Q16">
        <v>1335848.95073504</v>
      </c>
      <c r="R16">
        <v>499067.16417910397</v>
      </c>
      <c r="S16">
        <v>-833029.40186286601</v>
      </c>
      <c r="T16">
        <v>-3752.3846930759701</v>
      </c>
      <c r="W16">
        <f t="shared" si="9"/>
        <v>0</v>
      </c>
      <c r="X16">
        <f t="shared" si="10"/>
        <v>0</v>
      </c>
      <c r="Y16">
        <f t="shared" si="11"/>
        <v>0</v>
      </c>
      <c r="Z16">
        <f t="shared" si="12"/>
        <v>0</v>
      </c>
      <c r="AA16">
        <f t="shared" si="13"/>
        <v>0</v>
      </c>
      <c r="AB16">
        <f t="shared" si="14"/>
        <v>0</v>
      </c>
      <c r="AC16">
        <f t="shared" si="15"/>
        <v>0</v>
      </c>
    </row>
    <row r="17" spans="2:35" x14ac:dyDescent="0.25">
      <c r="B17">
        <v>5</v>
      </c>
      <c r="C17">
        <v>-499067.16417910397</v>
      </c>
      <c r="D17">
        <v>-667924.47536752303</v>
      </c>
      <c r="E17">
        <v>-3752.3846930759601</v>
      </c>
      <c r="F17">
        <v>-833029.40186286601</v>
      </c>
      <c r="G17">
        <v>499067.16417910397</v>
      </c>
      <c r="H17">
        <v>1335848.95073504</v>
      </c>
      <c r="I17">
        <v>3752.38469307594</v>
      </c>
      <c r="J17">
        <v>165104.92649534199</v>
      </c>
      <c r="L17">
        <v>5</v>
      </c>
      <c r="M17">
        <v>-499067.16417910397</v>
      </c>
      <c r="N17">
        <v>-667924.47536752303</v>
      </c>
      <c r="O17">
        <v>-3752.3846930759601</v>
      </c>
      <c r="P17">
        <v>-833029.40186286601</v>
      </c>
      <c r="Q17">
        <v>499067.16417910397</v>
      </c>
      <c r="R17">
        <v>1335848.95073504</v>
      </c>
      <c r="S17">
        <v>3752.38469307594</v>
      </c>
      <c r="T17">
        <v>165104.92649534199</v>
      </c>
      <c r="W17">
        <f t="shared" si="9"/>
        <v>0</v>
      </c>
      <c r="X17">
        <f t="shared" si="10"/>
        <v>0</v>
      </c>
      <c r="Y17">
        <f t="shared" si="11"/>
        <v>0</v>
      </c>
      <c r="Z17">
        <f t="shared" si="12"/>
        <v>0</v>
      </c>
      <c r="AA17">
        <f t="shared" si="13"/>
        <v>0</v>
      </c>
      <c r="AB17">
        <f t="shared" si="14"/>
        <v>0</v>
      </c>
      <c r="AC17">
        <f t="shared" si="15"/>
        <v>0</v>
      </c>
    </row>
    <row r="18" spans="2:35" x14ac:dyDescent="0.25">
      <c r="B18">
        <v>6</v>
      </c>
      <c r="C18">
        <v>165104.92649534199</v>
      </c>
      <c r="D18">
        <v>-3752.38469307594</v>
      </c>
      <c r="E18">
        <v>-667924.47536752303</v>
      </c>
      <c r="F18">
        <v>499067.16417910397</v>
      </c>
      <c r="G18">
        <v>-833029.40186286601</v>
      </c>
      <c r="H18">
        <v>3752.3846930759701</v>
      </c>
      <c r="I18">
        <v>1335848.95073504</v>
      </c>
      <c r="J18">
        <v>-499067.16417910397</v>
      </c>
      <c r="L18">
        <v>6</v>
      </c>
      <c r="M18">
        <v>165104.92649534199</v>
      </c>
      <c r="N18">
        <v>-3752.38469307594</v>
      </c>
      <c r="O18">
        <v>-667924.47536752303</v>
      </c>
      <c r="P18">
        <v>499067.16417910397</v>
      </c>
      <c r="Q18">
        <v>-833029.40186286601</v>
      </c>
      <c r="R18">
        <v>3752.3846930759701</v>
      </c>
      <c r="S18">
        <v>1335848.95073504</v>
      </c>
      <c r="T18">
        <v>-499067.16417910397</v>
      </c>
      <c r="W18">
        <f t="shared" si="9"/>
        <v>0</v>
      </c>
      <c r="X18">
        <f t="shared" si="10"/>
        <v>0</v>
      </c>
      <c r="Y18">
        <f t="shared" si="11"/>
        <v>0</v>
      </c>
      <c r="Z18">
        <f t="shared" si="12"/>
        <v>0</v>
      </c>
      <c r="AA18">
        <f t="shared" si="13"/>
        <v>0</v>
      </c>
      <c r="AB18">
        <f t="shared" si="14"/>
        <v>0</v>
      </c>
      <c r="AC18">
        <f t="shared" si="15"/>
        <v>0</v>
      </c>
    </row>
    <row r="19" spans="2:35" x14ac:dyDescent="0.25">
      <c r="B19">
        <v>7</v>
      </c>
      <c r="C19">
        <v>3752.3846930759701</v>
      </c>
      <c r="D19">
        <v>-833029.40186286601</v>
      </c>
      <c r="E19">
        <v>499067.16417910397</v>
      </c>
      <c r="F19">
        <v>-667924.47536752303</v>
      </c>
      <c r="G19">
        <v>-3752.3846930759701</v>
      </c>
      <c r="H19">
        <v>165104.92649534199</v>
      </c>
      <c r="I19">
        <v>-499067.16417910397</v>
      </c>
      <c r="J19">
        <v>1335848.95073504</v>
      </c>
      <c r="L19">
        <v>7</v>
      </c>
      <c r="M19">
        <v>3752.3846930759701</v>
      </c>
      <c r="N19">
        <v>-833029.40186286601</v>
      </c>
      <c r="O19">
        <v>499067.16417910397</v>
      </c>
      <c r="P19">
        <v>-667924.47536752303</v>
      </c>
      <c r="Q19">
        <v>-3752.3846930759701</v>
      </c>
      <c r="R19">
        <v>165104.92649534199</v>
      </c>
      <c r="S19">
        <v>-499067.16417910397</v>
      </c>
      <c r="T19">
        <v>1335848.95073504</v>
      </c>
      <c r="W19">
        <f t="shared" si="9"/>
        <v>0</v>
      </c>
      <c r="X19">
        <f t="shared" si="10"/>
        <v>0</v>
      </c>
      <c r="Y19">
        <f t="shared" si="11"/>
        <v>0</v>
      </c>
      <c r="Z19">
        <f t="shared" si="12"/>
        <v>0</v>
      </c>
      <c r="AA19">
        <f t="shared" si="13"/>
        <v>0</v>
      </c>
      <c r="AB19">
        <f t="shared" si="14"/>
        <v>0</v>
      </c>
      <c r="AC19">
        <f t="shared" si="15"/>
        <v>0</v>
      </c>
    </row>
    <row r="21" spans="2:35" x14ac:dyDescent="0.25">
      <c r="B21" s="1" t="s">
        <v>5</v>
      </c>
      <c r="C21" s="1"/>
      <c r="D21" s="1"/>
      <c r="E21" s="1"/>
      <c r="F21" s="1"/>
      <c r="G21" s="1"/>
      <c r="H21" s="1"/>
      <c r="I21" s="1"/>
      <c r="J21" s="1"/>
      <c r="L21" s="1" t="s">
        <v>6</v>
      </c>
      <c r="M21" s="1"/>
      <c r="N21" s="1"/>
      <c r="O21" s="1"/>
      <c r="P21" s="1"/>
      <c r="Q21" s="1"/>
      <c r="R21" s="1"/>
      <c r="S21" s="1"/>
      <c r="T21" s="1"/>
      <c r="V21" s="1" t="s">
        <v>4</v>
      </c>
      <c r="W21" s="1"/>
      <c r="X21" s="1"/>
      <c r="Y21" s="1"/>
      <c r="Z21" s="1"/>
      <c r="AB21">
        <v>0</v>
      </c>
      <c r="AC21">
        <v>1</v>
      </c>
      <c r="AD21">
        <v>2</v>
      </c>
      <c r="AE21">
        <v>3</v>
      </c>
      <c r="AF21">
        <v>4</v>
      </c>
      <c r="AG21">
        <v>5</v>
      </c>
      <c r="AH21">
        <v>6</v>
      </c>
      <c r="AI21">
        <v>7</v>
      </c>
    </row>
    <row r="22" spans="2:35" x14ac:dyDescent="0.25">
      <c r="B22">
        <v>0</v>
      </c>
      <c r="C22">
        <v>1335848.95073504</v>
      </c>
      <c r="D22">
        <v>499067.16417910397</v>
      </c>
      <c r="E22">
        <v>-833029.40186286601</v>
      </c>
      <c r="F22">
        <v>-3752.38469307594</v>
      </c>
      <c r="G22">
        <v>-667924.47536752303</v>
      </c>
      <c r="H22">
        <v>-499067.16417910397</v>
      </c>
      <c r="I22">
        <v>165104.92649534199</v>
      </c>
      <c r="J22">
        <v>3752.3846930759501</v>
      </c>
      <c r="L22">
        <v>0</v>
      </c>
      <c r="M22">
        <v>1335848.95073504</v>
      </c>
      <c r="N22">
        <v>499067.16417910397</v>
      </c>
      <c r="O22">
        <v>-833029.40186286601</v>
      </c>
      <c r="P22">
        <v>-3752.38469307594</v>
      </c>
      <c r="Q22">
        <v>-667924.47536752303</v>
      </c>
      <c r="R22">
        <v>-499067.16417910397</v>
      </c>
      <c r="S22">
        <v>165104.92649534199</v>
      </c>
      <c r="T22">
        <v>3752.3846930759501</v>
      </c>
      <c r="V22">
        <v>0</v>
      </c>
      <c r="W22">
        <v>1335848.95073504</v>
      </c>
      <c r="X22">
        <v>-499067.16417910397</v>
      </c>
      <c r="Y22">
        <v>165104.92649534199</v>
      </c>
      <c r="Z22">
        <v>-3752.3846930759601</v>
      </c>
      <c r="AB22">
        <f>M22-C22</f>
        <v>0</v>
      </c>
      <c r="AC22">
        <f t="shared" ref="AC22:AI22" si="16">N22-D22</f>
        <v>0</v>
      </c>
      <c r="AD22">
        <f t="shared" si="16"/>
        <v>0</v>
      </c>
      <c r="AE22">
        <f t="shared" si="16"/>
        <v>0</v>
      </c>
      <c r="AF22">
        <f t="shared" si="16"/>
        <v>0</v>
      </c>
      <c r="AG22">
        <f t="shared" si="16"/>
        <v>0</v>
      </c>
      <c r="AH22">
        <f t="shared" si="16"/>
        <v>0</v>
      </c>
      <c r="AI22">
        <f t="shared" si="16"/>
        <v>0</v>
      </c>
    </row>
    <row r="23" spans="2:35" x14ac:dyDescent="0.25">
      <c r="B23">
        <v>1</v>
      </c>
      <c r="C23">
        <v>499067.16417910397</v>
      </c>
      <c r="D23">
        <v>1335848.95073504</v>
      </c>
      <c r="E23">
        <v>3752.38469307592</v>
      </c>
      <c r="F23">
        <v>165104.92649534199</v>
      </c>
      <c r="G23">
        <v>-499067.16417910397</v>
      </c>
      <c r="H23">
        <v>-667924.47536752303</v>
      </c>
      <c r="I23">
        <v>-3752.38469307593</v>
      </c>
      <c r="J23">
        <v>-833029.40186286601</v>
      </c>
      <c r="L23">
        <v>1</v>
      </c>
      <c r="M23">
        <v>499067.16417910397</v>
      </c>
      <c r="N23">
        <v>1335848.95073504</v>
      </c>
      <c r="O23">
        <v>3752.38469307592</v>
      </c>
      <c r="P23">
        <v>165104.92649534199</v>
      </c>
      <c r="Q23">
        <v>-499067.16417910397</v>
      </c>
      <c r="R23">
        <v>-667924.47536752303</v>
      </c>
      <c r="S23">
        <v>-3752.38469307593</v>
      </c>
      <c r="T23">
        <v>-833029.40186286601</v>
      </c>
      <c r="V23">
        <v>1</v>
      </c>
      <c r="W23">
        <v>-499067.16417910397</v>
      </c>
      <c r="X23">
        <v>1335848.95073504</v>
      </c>
      <c r="Y23">
        <v>3752.38469307593</v>
      </c>
      <c r="Z23">
        <v>-833029.40186286601</v>
      </c>
      <c r="AB23">
        <f t="shared" ref="AB23:AB29" si="17">M23-C23</f>
        <v>0</v>
      </c>
      <c r="AC23">
        <f t="shared" ref="AC23:AC29" si="18">N23-D23</f>
        <v>0</v>
      </c>
      <c r="AD23">
        <f t="shared" ref="AD23:AD29" si="19">O23-E23</f>
        <v>0</v>
      </c>
      <c r="AE23">
        <f t="shared" ref="AE23:AE29" si="20">P23-F23</f>
        <v>0</v>
      </c>
      <c r="AF23">
        <f t="shared" ref="AF23:AF29" si="21">Q23-G23</f>
        <v>0</v>
      </c>
      <c r="AG23">
        <f t="shared" ref="AG23:AG29" si="22">R23-H23</f>
        <v>0</v>
      </c>
      <c r="AH23">
        <f t="shared" ref="AH23:AH29" si="23">S23-I23</f>
        <v>0</v>
      </c>
      <c r="AI23">
        <f t="shared" ref="AI23:AI29" si="24">T23-J23</f>
        <v>0</v>
      </c>
    </row>
    <row r="24" spans="2:35" x14ac:dyDescent="0.25">
      <c r="B24">
        <v>2</v>
      </c>
      <c r="C24">
        <v>-833029.40186286601</v>
      </c>
      <c r="D24">
        <v>3752.38469307592</v>
      </c>
      <c r="E24">
        <v>1335848.95073504</v>
      </c>
      <c r="F24">
        <v>-499067.16417910397</v>
      </c>
      <c r="G24">
        <v>165104.92649534199</v>
      </c>
      <c r="H24">
        <v>-3752.3846930759601</v>
      </c>
      <c r="I24">
        <v>-667924.47536752303</v>
      </c>
      <c r="J24">
        <v>499067.16417910397</v>
      </c>
      <c r="L24">
        <v>2</v>
      </c>
      <c r="M24">
        <v>-833029.40186286601</v>
      </c>
      <c r="N24">
        <v>3752.38469307592</v>
      </c>
      <c r="O24">
        <v>1335848.95073504</v>
      </c>
      <c r="P24">
        <v>-499067.16417910397</v>
      </c>
      <c r="Q24">
        <v>165104.92649534199</v>
      </c>
      <c r="R24">
        <v>-3752.3846930759601</v>
      </c>
      <c r="S24">
        <v>-667924.47536752303</v>
      </c>
      <c r="T24">
        <v>499067.16417910397</v>
      </c>
      <c r="V24">
        <v>2</v>
      </c>
      <c r="W24">
        <v>165104.92649534199</v>
      </c>
      <c r="X24">
        <v>3752.38469307594</v>
      </c>
      <c r="Y24">
        <v>1335848.95073504</v>
      </c>
      <c r="Z24">
        <v>499067.16417910397</v>
      </c>
      <c r="AB24">
        <f t="shared" si="17"/>
        <v>0</v>
      </c>
      <c r="AC24">
        <f t="shared" si="18"/>
        <v>0</v>
      </c>
      <c r="AD24">
        <f t="shared" si="19"/>
        <v>0</v>
      </c>
      <c r="AE24">
        <f t="shared" si="20"/>
        <v>0</v>
      </c>
      <c r="AF24">
        <f t="shared" si="21"/>
        <v>0</v>
      </c>
      <c r="AG24">
        <f t="shared" si="22"/>
        <v>0</v>
      </c>
      <c r="AH24">
        <f t="shared" si="23"/>
        <v>0</v>
      </c>
      <c r="AI24">
        <f t="shared" si="24"/>
        <v>0</v>
      </c>
    </row>
    <row r="25" spans="2:35" x14ac:dyDescent="0.25">
      <c r="B25">
        <v>3</v>
      </c>
      <c r="C25">
        <v>-3752.38469307594</v>
      </c>
      <c r="D25">
        <v>165104.92649534199</v>
      </c>
      <c r="E25">
        <v>-499067.16417910397</v>
      </c>
      <c r="F25">
        <v>1335848.95073504</v>
      </c>
      <c r="G25">
        <v>3752.38469307593</v>
      </c>
      <c r="H25">
        <v>-833029.40186286601</v>
      </c>
      <c r="I25">
        <v>499067.16417910397</v>
      </c>
      <c r="J25">
        <v>-667924.47536752303</v>
      </c>
      <c r="L25">
        <v>3</v>
      </c>
      <c r="M25">
        <v>-3752.38469307594</v>
      </c>
      <c r="N25">
        <v>165104.92649534199</v>
      </c>
      <c r="O25">
        <v>-499067.16417910397</v>
      </c>
      <c r="P25">
        <v>1335848.95073504</v>
      </c>
      <c r="Q25">
        <v>3752.38469307593</v>
      </c>
      <c r="R25">
        <v>-833029.40186286601</v>
      </c>
      <c r="S25">
        <v>499067.16417910397</v>
      </c>
      <c r="T25">
        <v>-667924.47536752303</v>
      </c>
      <c r="V25">
        <v>3</v>
      </c>
      <c r="W25">
        <v>-3752.3846930759601</v>
      </c>
      <c r="X25">
        <v>-833029.40186286601</v>
      </c>
      <c r="Y25">
        <v>499067.16417910397</v>
      </c>
      <c r="Z25">
        <v>1335848.95073504</v>
      </c>
      <c r="AB25">
        <f t="shared" si="17"/>
        <v>0</v>
      </c>
      <c r="AC25">
        <f t="shared" si="18"/>
        <v>0</v>
      </c>
      <c r="AD25">
        <f t="shared" si="19"/>
        <v>0</v>
      </c>
      <c r="AE25">
        <f t="shared" si="20"/>
        <v>0</v>
      </c>
      <c r="AF25">
        <f t="shared" si="21"/>
        <v>0</v>
      </c>
      <c r="AG25">
        <f t="shared" si="22"/>
        <v>0</v>
      </c>
      <c r="AH25">
        <f t="shared" si="23"/>
        <v>0</v>
      </c>
      <c r="AI25">
        <f t="shared" si="24"/>
        <v>0</v>
      </c>
    </row>
    <row r="26" spans="2:35" x14ac:dyDescent="0.25">
      <c r="B26">
        <v>4</v>
      </c>
      <c r="C26">
        <v>-667924.47536752303</v>
      </c>
      <c r="D26">
        <v>-499067.16417910397</v>
      </c>
      <c r="E26">
        <v>165104.92649534199</v>
      </c>
      <c r="F26">
        <v>3752.38469307594</v>
      </c>
      <c r="G26">
        <v>1335848.95073504</v>
      </c>
      <c r="H26">
        <v>499067.16417910397</v>
      </c>
      <c r="I26">
        <v>-833029.40186286601</v>
      </c>
      <c r="J26">
        <v>-3752.3846930759701</v>
      </c>
      <c r="L26">
        <v>4</v>
      </c>
      <c r="M26">
        <v>-667924.47536752303</v>
      </c>
      <c r="N26">
        <v>-499067.16417910397</v>
      </c>
      <c r="O26">
        <v>165104.92649534199</v>
      </c>
      <c r="P26">
        <v>3752.38469307594</v>
      </c>
      <c r="Q26">
        <v>1335848.95073504</v>
      </c>
      <c r="R26">
        <v>499067.16417910397</v>
      </c>
      <c r="S26">
        <v>-833029.40186286601</v>
      </c>
      <c r="T26">
        <v>-3752.3846930759701</v>
      </c>
      <c r="AB26">
        <f t="shared" si="17"/>
        <v>0</v>
      </c>
      <c r="AC26">
        <f t="shared" si="18"/>
        <v>0</v>
      </c>
      <c r="AD26">
        <f t="shared" si="19"/>
        <v>0</v>
      </c>
      <c r="AE26">
        <f t="shared" si="20"/>
        <v>0</v>
      </c>
      <c r="AF26">
        <f t="shared" si="21"/>
        <v>0</v>
      </c>
      <c r="AG26">
        <f t="shared" si="22"/>
        <v>0</v>
      </c>
      <c r="AH26">
        <f t="shared" si="23"/>
        <v>0</v>
      </c>
      <c r="AI26">
        <f t="shared" si="24"/>
        <v>0</v>
      </c>
    </row>
    <row r="27" spans="2:35" x14ac:dyDescent="0.25">
      <c r="B27">
        <v>5</v>
      </c>
      <c r="C27">
        <v>-499067.16417910397</v>
      </c>
      <c r="D27">
        <v>-667924.47536752303</v>
      </c>
      <c r="E27">
        <v>-3752.3846930759601</v>
      </c>
      <c r="F27">
        <v>-833029.40186286601</v>
      </c>
      <c r="G27">
        <v>499067.16417910397</v>
      </c>
      <c r="H27">
        <v>1335848.95073504</v>
      </c>
      <c r="I27">
        <v>3752.38469307594</v>
      </c>
      <c r="J27">
        <v>165104.92649534199</v>
      </c>
      <c r="L27">
        <v>5</v>
      </c>
      <c r="M27">
        <v>-499067.16417910397</v>
      </c>
      <c r="N27">
        <v>-667924.47536752303</v>
      </c>
      <c r="O27">
        <v>-3752.3846930759601</v>
      </c>
      <c r="P27">
        <v>-833029.40186286601</v>
      </c>
      <c r="Q27">
        <v>499067.16417910397</v>
      </c>
      <c r="R27">
        <v>1335848.95073504</v>
      </c>
      <c r="S27">
        <v>3752.38469307594</v>
      </c>
      <c r="T27">
        <v>165104.92649534199</v>
      </c>
      <c r="AB27">
        <f t="shared" si="17"/>
        <v>0</v>
      </c>
      <c r="AC27">
        <f t="shared" si="18"/>
        <v>0</v>
      </c>
      <c r="AD27">
        <f t="shared" si="19"/>
        <v>0</v>
      </c>
      <c r="AE27">
        <f t="shared" si="20"/>
        <v>0</v>
      </c>
      <c r="AF27">
        <f t="shared" si="21"/>
        <v>0</v>
      </c>
      <c r="AG27">
        <f t="shared" si="22"/>
        <v>0</v>
      </c>
      <c r="AH27">
        <f t="shared" si="23"/>
        <v>0</v>
      </c>
      <c r="AI27">
        <f t="shared" si="24"/>
        <v>0</v>
      </c>
    </row>
    <row r="28" spans="2:35" x14ac:dyDescent="0.25">
      <c r="B28">
        <v>6</v>
      </c>
      <c r="C28">
        <v>165104.92649534199</v>
      </c>
      <c r="D28">
        <v>-3752.38469307594</v>
      </c>
      <c r="E28">
        <v>-667924.47536752303</v>
      </c>
      <c r="F28">
        <v>499067.16417910397</v>
      </c>
      <c r="G28">
        <v>-833029.40186286601</v>
      </c>
      <c r="H28">
        <v>3752.3846930759701</v>
      </c>
      <c r="I28">
        <v>1335848.95073504</v>
      </c>
      <c r="J28">
        <v>-499067.16417910397</v>
      </c>
      <c r="L28">
        <v>6</v>
      </c>
      <c r="M28">
        <v>165104.92649534199</v>
      </c>
      <c r="N28">
        <v>-3752.38469307594</v>
      </c>
      <c r="O28">
        <v>-667924.47536752303</v>
      </c>
      <c r="P28">
        <v>499067.16417910397</v>
      </c>
      <c r="Q28">
        <v>-833029.40186286601</v>
      </c>
      <c r="R28">
        <v>3752.3846930759701</v>
      </c>
      <c r="S28">
        <v>1335848.95073504</v>
      </c>
      <c r="T28">
        <v>-499067.16417910397</v>
      </c>
      <c r="AB28">
        <f t="shared" si="17"/>
        <v>0</v>
      </c>
      <c r="AC28">
        <f t="shared" si="18"/>
        <v>0</v>
      </c>
      <c r="AD28">
        <f t="shared" si="19"/>
        <v>0</v>
      </c>
      <c r="AE28">
        <f t="shared" si="20"/>
        <v>0</v>
      </c>
      <c r="AF28">
        <f t="shared" si="21"/>
        <v>0</v>
      </c>
      <c r="AG28">
        <f t="shared" si="22"/>
        <v>0</v>
      </c>
      <c r="AH28">
        <f t="shared" si="23"/>
        <v>0</v>
      </c>
      <c r="AI28">
        <f t="shared" si="24"/>
        <v>0</v>
      </c>
    </row>
    <row r="29" spans="2:35" x14ac:dyDescent="0.25">
      <c r="B29">
        <v>7</v>
      </c>
      <c r="C29">
        <v>3752.3846930759701</v>
      </c>
      <c r="D29">
        <v>-833029.40186286601</v>
      </c>
      <c r="E29">
        <v>499067.16417910397</v>
      </c>
      <c r="F29">
        <v>-667924.47536752303</v>
      </c>
      <c r="G29">
        <v>-3752.3846930759701</v>
      </c>
      <c r="H29">
        <v>165104.92649534199</v>
      </c>
      <c r="I29">
        <v>-499067.16417910397</v>
      </c>
      <c r="J29">
        <v>1335848.95073504</v>
      </c>
      <c r="L29">
        <v>7</v>
      </c>
      <c r="M29">
        <v>3752.3846930759701</v>
      </c>
      <c r="N29">
        <v>-833029.40186286601</v>
      </c>
      <c r="O29">
        <v>499067.16417910397</v>
      </c>
      <c r="P29">
        <v>-667924.47536752303</v>
      </c>
      <c r="Q29">
        <v>-3752.3846930759701</v>
      </c>
      <c r="R29">
        <v>165104.92649534199</v>
      </c>
      <c r="S29">
        <v>-499067.16417910397</v>
      </c>
      <c r="T29">
        <v>1335848.95073504</v>
      </c>
      <c r="AB29">
        <f t="shared" si="17"/>
        <v>0</v>
      </c>
      <c r="AC29">
        <f t="shared" si="18"/>
        <v>0</v>
      </c>
      <c r="AD29">
        <f t="shared" si="19"/>
        <v>0</v>
      </c>
      <c r="AE29">
        <f t="shared" si="20"/>
        <v>0</v>
      </c>
      <c r="AF29">
        <f t="shared" si="21"/>
        <v>0</v>
      </c>
      <c r="AG29">
        <f t="shared" si="22"/>
        <v>0</v>
      </c>
      <c r="AH29">
        <f t="shared" si="23"/>
        <v>0</v>
      </c>
      <c r="AI29">
        <f t="shared" si="24"/>
        <v>0</v>
      </c>
    </row>
    <row r="31" spans="2:35" x14ac:dyDescent="0.25">
      <c r="B31" s="1" t="s">
        <v>7</v>
      </c>
      <c r="C31" s="1"/>
      <c r="D31" s="1"/>
      <c r="E31" s="1"/>
      <c r="F31" s="1"/>
      <c r="G31" s="1"/>
      <c r="H31" s="1"/>
      <c r="I31" s="1"/>
      <c r="J31" s="1"/>
      <c r="L31" s="1" t="s">
        <v>8</v>
      </c>
      <c r="M31" s="1"/>
      <c r="N31" s="1"/>
      <c r="O31" s="1"/>
      <c r="P31" s="1"/>
      <c r="Q31" s="1"/>
      <c r="R31" s="1"/>
      <c r="S31" s="1"/>
      <c r="T31" s="1"/>
      <c r="V31" s="1" t="s">
        <v>4</v>
      </c>
      <c r="W31" s="1"/>
      <c r="X31" s="1"/>
      <c r="Y31" s="1"/>
      <c r="Z31" s="1"/>
    </row>
    <row r="32" spans="2:35" x14ac:dyDescent="0.25">
      <c r="B32">
        <v>0</v>
      </c>
      <c r="C32">
        <v>1335848.95073504</v>
      </c>
      <c r="D32">
        <v>499067.16417910397</v>
      </c>
      <c r="E32">
        <v>-833029.40186286601</v>
      </c>
      <c r="F32">
        <v>-3752.38469307594</v>
      </c>
      <c r="G32">
        <v>-667924.47536752303</v>
      </c>
      <c r="H32">
        <v>-499067.16417910397</v>
      </c>
      <c r="I32">
        <v>165104.92649534199</v>
      </c>
      <c r="J32">
        <v>3752.3846930759501</v>
      </c>
      <c r="L32">
        <v>0</v>
      </c>
      <c r="M32">
        <v>1335848.95073504</v>
      </c>
      <c r="N32">
        <v>499067.16417910397</v>
      </c>
      <c r="O32">
        <v>-833029.40186286601</v>
      </c>
      <c r="P32">
        <v>-3752.38469307594</v>
      </c>
      <c r="Q32">
        <v>-667924.47536752303</v>
      </c>
      <c r="R32">
        <v>-499067.16417910397</v>
      </c>
      <c r="S32">
        <v>165104.92649534199</v>
      </c>
      <c r="T32">
        <v>3752.3846930759501</v>
      </c>
      <c r="V32">
        <v>0</v>
      </c>
      <c r="W32">
        <v>1335848.95073504</v>
      </c>
      <c r="X32">
        <v>-499067.16417910397</v>
      </c>
      <c r="Y32">
        <v>165104.92649534199</v>
      </c>
      <c r="Z32">
        <v>-3752.3846930759601</v>
      </c>
      <c r="AB32">
        <f>M32-C32</f>
        <v>0</v>
      </c>
      <c r="AC32">
        <f t="shared" ref="AC32:AC39" si="25">N32-D32</f>
        <v>0</v>
      </c>
      <c r="AD32">
        <f t="shared" ref="AD32:AD39" si="26">O32-E32</f>
        <v>0</v>
      </c>
      <c r="AE32">
        <f t="shared" ref="AE32:AE39" si="27">P32-F32</f>
        <v>0</v>
      </c>
      <c r="AF32">
        <f t="shared" ref="AF32:AF39" si="28">Q32-G32</f>
        <v>0</v>
      </c>
      <c r="AG32">
        <f t="shared" ref="AG32:AG39" si="29">R32-H32</f>
        <v>0</v>
      </c>
      <c r="AH32">
        <f t="shared" ref="AH32:AH39" si="30">S32-I32</f>
        <v>0</v>
      </c>
      <c r="AI32">
        <f t="shared" ref="AI32:AI39" si="31">T32-J32</f>
        <v>0</v>
      </c>
    </row>
    <row r="33" spans="2:35" x14ac:dyDescent="0.25">
      <c r="B33">
        <v>1</v>
      </c>
      <c r="C33">
        <v>499067.16417910397</v>
      </c>
      <c r="D33">
        <v>1335848.95073504</v>
      </c>
      <c r="E33">
        <v>3752.38469307592</v>
      </c>
      <c r="F33">
        <v>165104.92649534199</v>
      </c>
      <c r="G33">
        <v>-499067.16417910397</v>
      </c>
      <c r="H33">
        <v>-667924.47536752303</v>
      </c>
      <c r="I33">
        <v>-3752.38469307593</v>
      </c>
      <c r="J33">
        <v>-833029.40186286601</v>
      </c>
      <c r="L33">
        <v>1</v>
      </c>
      <c r="M33">
        <v>499067.16417910397</v>
      </c>
      <c r="N33">
        <v>1335848.95073504</v>
      </c>
      <c r="O33">
        <v>3752.38469307592</v>
      </c>
      <c r="P33">
        <v>165104.92649534199</v>
      </c>
      <c r="Q33">
        <v>-499067.16417910397</v>
      </c>
      <c r="R33">
        <v>-667924.47536752303</v>
      </c>
      <c r="S33">
        <v>-3752.38469307593</v>
      </c>
      <c r="T33">
        <v>-833029.40186286601</v>
      </c>
      <c r="V33">
        <v>1</v>
      </c>
      <c r="W33">
        <v>-499067.16417910397</v>
      </c>
      <c r="X33">
        <v>1335848.95073504</v>
      </c>
      <c r="Y33">
        <v>3752.38469307593</v>
      </c>
      <c r="Z33">
        <v>-833029.40186286601</v>
      </c>
      <c r="AB33">
        <f t="shared" ref="AB33:AB39" si="32">M33-C33</f>
        <v>0</v>
      </c>
      <c r="AC33">
        <f t="shared" si="25"/>
        <v>0</v>
      </c>
      <c r="AD33">
        <f t="shared" si="26"/>
        <v>0</v>
      </c>
      <c r="AE33">
        <f t="shared" si="27"/>
        <v>0</v>
      </c>
      <c r="AF33">
        <f t="shared" si="28"/>
        <v>0</v>
      </c>
      <c r="AG33">
        <f t="shared" si="29"/>
        <v>0</v>
      </c>
      <c r="AH33">
        <f t="shared" si="30"/>
        <v>0</v>
      </c>
      <c r="AI33">
        <f t="shared" si="31"/>
        <v>0</v>
      </c>
    </row>
    <row r="34" spans="2:35" x14ac:dyDescent="0.25">
      <c r="B34">
        <v>2</v>
      </c>
      <c r="C34">
        <v>-833029.40186286601</v>
      </c>
      <c r="D34">
        <v>3752.38469307592</v>
      </c>
      <c r="E34">
        <v>1335848.95073504</v>
      </c>
      <c r="F34">
        <v>-499067.16417910397</v>
      </c>
      <c r="G34">
        <v>165104.92649534199</v>
      </c>
      <c r="H34">
        <v>-3752.3846930759601</v>
      </c>
      <c r="I34">
        <v>-667924.47536752303</v>
      </c>
      <c r="J34">
        <v>499067.16417910397</v>
      </c>
      <c r="L34">
        <v>2</v>
      </c>
      <c r="M34">
        <v>-833029.40186286601</v>
      </c>
      <c r="N34">
        <v>3752.38469307592</v>
      </c>
      <c r="O34">
        <v>1335848.95073504</v>
      </c>
      <c r="P34">
        <v>-499067.16417910397</v>
      </c>
      <c r="Q34">
        <v>165104.92649534199</v>
      </c>
      <c r="R34">
        <v>-3752.3846930759601</v>
      </c>
      <c r="S34">
        <v>-667924.47536752303</v>
      </c>
      <c r="T34">
        <v>499067.16417910397</v>
      </c>
      <c r="V34">
        <v>2</v>
      </c>
      <c r="W34">
        <v>165104.92649534199</v>
      </c>
      <c r="X34">
        <v>3752.38469307594</v>
      </c>
      <c r="Y34">
        <v>1335848.95073504</v>
      </c>
      <c r="Z34">
        <v>499067.16417910397</v>
      </c>
      <c r="AB34">
        <f t="shared" si="32"/>
        <v>0</v>
      </c>
      <c r="AC34">
        <f t="shared" si="25"/>
        <v>0</v>
      </c>
      <c r="AD34">
        <f t="shared" si="26"/>
        <v>0</v>
      </c>
      <c r="AE34">
        <f t="shared" si="27"/>
        <v>0</v>
      </c>
      <c r="AF34">
        <f t="shared" si="28"/>
        <v>0</v>
      </c>
      <c r="AG34">
        <f t="shared" si="29"/>
        <v>0</v>
      </c>
      <c r="AH34">
        <f t="shared" si="30"/>
        <v>0</v>
      </c>
      <c r="AI34">
        <f t="shared" si="31"/>
        <v>0</v>
      </c>
    </row>
    <row r="35" spans="2:35" x14ac:dyDescent="0.25">
      <c r="B35">
        <v>3</v>
      </c>
      <c r="C35">
        <v>-3752.38469307594</v>
      </c>
      <c r="D35">
        <v>165104.92649534199</v>
      </c>
      <c r="E35">
        <v>-499067.16417910397</v>
      </c>
      <c r="F35">
        <v>1335848.95073504</v>
      </c>
      <c r="G35">
        <v>3752.38469307593</v>
      </c>
      <c r="H35">
        <v>-833029.40186286601</v>
      </c>
      <c r="I35">
        <v>499067.16417910397</v>
      </c>
      <c r="J35">
        <v>-667924.47536752303</v>
      </c>
      <c r="L35">
        <v>3</v>
      </c>
      <c r="M35">
        <v>-3752.38469307594</v>
      </c>
      <c r="N35">
        <v>165104.92649534199</v>
      </c>
      <c r="O35">
        <v>-499067.16417910397</v>
      </c>
      <c r="P35">
        <v>1335848.95073504</v>
      </c>
      <c r="Q35">
        <v>3752.38469307593</v>
      </c>
      <c r="R35">
        <v>-833029.40186286601</v>
      </c>
      <c r="S35">
        <v>499067.16417910397</v>
      </c>
      <c r="T35">
        <v>-667924.47536752303</v>
      </c>
      <c r="V35">
        <v>3</v>
      </c>
      <c r="W35">
        <v>-3752.3846930759601</v>
      </c>
      <c r="X35">
        <v>-833029.40186286601</v>
      </c>
      <c r="Y35">
        <v>499067.16417910397</v>
      </c>
      <c r="Z35">
        <v>1335848.95073504</v>
      </c>
      <c r="AB35">
        <f t="shared" si="32"/>
        <v>0</v>
      </c>
      <c r="AC35">
        <f t="shared" si="25"/>
        <v>0</v>
      </c>
      <c r="AD35">
        <f t="shared" si="26"/>
        <v>0</v>
      </c>
      <c r="AE35">
        <f t="shared" si="27"/>
        <v>0</v>
      </c>
      <c r="AF35">
        <f t="shared" si="28"/>
        <v>0</v>
      </c>
      <c r="AG35">
        <f t="shared" si="29"/>
        <v>0</v>
      </c>
      <c r="AH35">
        <f t="shared" si="30"/>
        <v>0</v>
      </c>
      <c r="AI35">
        <f t="shared" si="31"/>
        <v>0</v>
      </c>
    </row>
    <row r="36" spans="2:35" x14ac:dyDescent="0.25">
      <c r="B36">
        <v>4</v>
      </c>
      <c r="C36">
        <v>-667924.47536752303</v>
      </c>
      <c r="D36">
        <v>-499067.16417910397</v>
      </c>
      <c r="E36">
        <v>165104.92649534199</v>
      </c>
      <c r="F36">
        <v>3752.38469307594</v>
      </c>
      <c r="G36">
        <v>1335848.95073504</v>
      </c>
      <c r="H36">
        <v>499067.16417910397</v>
      </c>
      <c r="I36">
        <v>-833029.40186286601</v>
      </c>
      <c r="J36">
        <v>-3752.3846930759701</v>
      </c>
      <c r="L36">
        <v>4</v>
      </c>
      <c r="M36">
        <v>-667924.47536752303</v>
      </c>
      <c r="N36">
        <v>-499067.16417910397</v>
      </c>
      <c r="O36">
        <v>165104.92649534199</v>
      </c>
      <c r="P36">
        <v>3752.38469307594</v>
      </c>
      <c r="Q36">
        <v>1335848.95073504</v>
      </c>
      <c r="R36">
        <v>499067.16417910397</v>
      </c>
      <c r="S36">
        <v>-833029.40186286601</v>
      </c>
      <c r="T36">
        <v>-3752.3846930759701</v>
      </c>
      <c r="AB36">
        <f t="shared" si="32"/>
        <v>0</v>
      </c>
      <c r="AC36">
        <f t="shared" si="25"/>
        <v>0</v>
      </c>
      <c r="AD36">
        <f t="shared" si="26"/>
        <v>0</v>
      </c>
      <c r="AE36">
        <f t="shared" si="27"/>
        <v>0</v>
      </c>
      <c r="AF36">
        <f t="shared" si="28"/>
        <v>0</v>
      </c>
      <c r="AG36">
        <f t="shared" si="29"/>
        <v>0</v>
      </c>
      <c r="AH36">
        <f t="shared" si="30"/>
        <v>0</v>
      </c>
      <c r="AI36">
        <f t="shared" si="31"/>
        <v>0</v>
      </c>
    </row>
    <row r="37" spans="2:35" x14ac:dyDescent="0.25">
      <c r="B37">
        <v>5</v>
      </c>
      <c r="C37">
        <v>-499067.16417910397</v>
      </c>
      <c r="D37">
        <v>-667924.47536752303</v>
      </c>
      <c r="E37">
        <v>-3752.3846930759601</v>
      </c>
      <c r="F37">
        <v>-833029.40186286601</v>
      </c>
      <c r="G37">
        <v>499067.16417910397</v>
      </c>
      <c r="H37">
        <v>1335848.95073504</v>
      </c>
      <c r="I37">
        <v>3752.38469307594</v>
      </c>
      <c r="J37">
        <v>165104.92649534199</v>
      </c>
      <c r="L37">
        <v>5</v>
      </c>
      <c r="M37">
        <v>-499067.16417910397</v>
      </c>
      <c r="N37">
        <v>-667924.47536752303</v>
      </c>
      <c r="O37">
        <v>-3752.3846930759601</v>
      </c>
      <c r="P37">
        <v>-833029.40186286601</v>
      </c>
      <c r="Q37">
        <v>499067.16417910397</v>
      </c>
      <c r="R37">
        <v>1335848.95073504</v>
      </c>
      <c r="S37">
        <v>3752.38469307594</v>
      </c>
      <c r="T37">
        <v>165104.92649534199</v>
      </c>
      <c r="AB37">
        <f t="shared" si="32"/>
        <v>0</v>
      </c>
      <c r="AC37">
        <f t="shared" si="25"/>
        <v>0</v>
      </c>
      <c r="AD37">
        <f t="shared" si="26"/>
        <v>0</v>
      </c>
      <c r="AE37">
        <f t="shared" si="27"/>
        <v>0</v>
      </c>
      <c r="AF37">
        <f t="shared" si="28"/>
        <v>0</v>
      </c>
      <c r="AG37">
        <f t="shared" si="29"/>
        <v>0</v>
      </c>
      <c r="AH37">
        <f t="shared" si="30"/>
        <v>0</v>
      </c>
      <c r="AI37">
        <f t="shared" si="31"/>
        <v>0</v>
      </c>
    </row>
    <row r="38" spans="2:35" x14ac:dyDescent="0.25">
      <c r="B38">
        <v>6</v>
      </c>
      <c r="C38">
        <v>165104.92649534199</v>
      </c>
      <c r="D38">
        <v>-3752.38469307594</v>
      </c>
      <c r="E38">
        <v>-667924.47536752303</v>
      </c>
      <c r="F38">
        <v>499067.16417910397</v>
      </c>
      <c r="G38">
        <v>-833029.40186286601</v>
      </c>
      <c r="H38">
        <v>3752.3846930759701</v>
      </c>
      <c r="I38">
        <v>1335848.95073504</v>
      </c>
      <c r="J38">
        <v>-499067.16417910397</v>
      </c>
      <c r="L38">
        <v>6</v>
      </c>
      <c r="M38">
        <v>165104.92649534199</v>
      </c>
      <c r="N38">
        <v>-3752.38469307594</v>
      </c>
      <c r="O38">
        <v>-667924.47536752303</v>
      </c>
      <c r="P38">
        <v>499067.16417910397</v>
      </c>
      <c r="Q38">
        <v>-833029.40186286601</v>
      </c>
      <c r="R38">
        <v>3752.3846930759701</v>
      </c>
      <c r="S38">
        <v>1335848.95073504</v>
      </c>
      <c r="T38">
        <v>-499067.16417910397</v>
      </c>
      <c r="AB38">
        <f t="shared" si="32"/>
        <v>0</v>
      </c>
      <c r="AC38">
        <f t="shared" si="25"/>
        <v>0</v>
      </c>
      <c r="AD38">
        <f t="shared" si="26"/>
        <v>0</v>
      </c>
      <c r="AE38">
        <f t="shared" si="27"/>
        <v>0</v>
      </c>
      <c r="AF38">
        <f t="shared" si="28"/>
        <v>0</v>
      </c>
      <c r="AG38">
        <f t="shared" si="29"/>
        <v>0</v>
      </c>
      <c r="AH38">
        <f t="shared" si="30"/>
        <v>0</v>
      </c>
      <c r="AI38">
        <f t="shared" si="31"/>
        <v>0</v>
      </c>
    </row>
    <row r="39" spans="2:35" x14ac:dyDescent="0.25">
      <c r="B39">
        <v>7</v>
      </c>
      <c r="C39">
        <v>3752.3846930759701</v>
      </c>
      <c r="D39">
        <v>-833029.40186286601</v>
      </c>
      <c r="E39">
        <v>499067.16417910397</v>
      </c>
      <c r="F39">
        <v>-667924.47536752303</v>
      </c>
      <c r="G39">
        <v>-3752.3846930759701</v>
      </c>
      <c r="H39">
        <v>165104.92649534199</v>
      </c>
      <c r="I39">
        <v>-499067.16417910397</v>
      </c>
      <c r="J39">
        <v>1335848.95073504</v>
      </c>
      <c r="L39">
        <v>7</v>
      </c>
      <c r="M39">
        <v>3752.3846930759701</v>
      </c>
      <c r="N39">
        <v>-833029.40186286601</v>
      </c>
      <c r="O39">
        <v>499067.16417910397</v>
      </c>
      <c r="P39">
        <v>-667924.47536752303</v>
      </c>
      <c r="Q39">
        <v>-3752.3846930759701</v>
      </c>
      <c r="R39">
        <v>165104.92649534199</v>
      </c>
      <c r="S39">
        <v>-499067.16417910397</v>
      </c>
      <c r="T39">
        <v>1335848.95073504</v>
      </c>
      <c r="AB39">
        <f t="shared" si="32"/>
        <v>0</v>
      </c>
      <c r="AC39">
        <f t="shared" si="25"/>
        <v>0</v>
      </c>
      <c r="AD39">
        <f t="shared" si="26"/>
        <v>0</v>
      </c>
      <c r="AE39">
        <f t="shared" si="27"/>
        <v>0</v>
      </c>
      <c r="AF39">
        <f t="shared" si="28"/>
        <v>0</v>
      </c>
      <c r="AG39">
        <f t="shared" si="29"/>
        <v>0</v>
      </c>
      <c r="AH39">
        <f t="shared" si="30"/>
        <v>0</v>
      </c>
      <c r="AI39">
        <f t="shared" si="31"/>
        <v>0</v>
      </c>
    </row>
    <row r="41" spans="2:35" x14ac:dyDescent="0.25">
      <c r="B41" s="1" t="s">
        <v>9</v>
      </c>
      <c r="C41" s="1"/>
      <c r="D41" s="1"/>
      <c r="E41" s="1"/>
      <c r="F41" s="1"/>
      <c r="G41" s="1"/>
      <c r="H41" s="1"/>
      <c r="I41" s="1"/>
      <c r="J41" s="1"/>
      <c r="L41" s="1" t="s">
        <v>10</v>
      </c>
      <c r="M41" s="1"/>
      <c r="N41" s="1"/>
      <c r="O41" s="1"/>
      <c r="P41" s="1"/>
      <c r="Q41" s="1"/>
      <c r="R41" s="1"/>
      <c r="S41" s="1"/>
      <c r="T41" s="1"/>
      <c r="V41" s="1" t="s">
        <v>4</v>
      </c>
      <c r="W41" s="1"/>
      <c r="X41" s="1"/>
      <c r="Y41" s="1"/>
      <c r="Z41" s="1"/>
    </row>
    <row r="42" spans="2:35" x14ac:dyDescent="0.25">
      <c r="B42">
        <v>0</v>
      </c>
      <c r="C42">
        <v>1335848.95073504</v>
      </c>
      <c r="D42">
        <v>499067.16417910397</v>
      </c>
      <c r="E42">
        <v>-833029.40186286601</v>
      </c>
      <c r="F42">
        <v>-3752.38469307594</v>
      </c>
      <c r="G42">
        <v>-667924.47536752303</v>
      </c>
      <c r="H42">
        <v>-499067.16417910397</v>
      </c>
      <c r="I42">
        <v>165104.92649534199</v>
      </c>
      <c r="J42">
        <v>3752.3846930759501</v>
      </c>
      <c r="L42">
        <v>0</v>
      </c>
      <c r="M42">
        <v>1335848.95073504</v>
      </c>
      <c r="N42">
        <v>499067.16417910397</v>
      </c>
      <c r="O42">
        <v>-833029.40186286601</v>
      </c>
      <c r="P42">
        <v>-3752.38469307594</v>
      </c>
      <c r="Q42">
        <v>-667924.47536752303</v>
      </c>
      <c r="R42">
        <v>-499067.16417910397</v>
      </c>
      <c r="S42">
        <v>165104.92649534199</v>
      </c>
      <c r="T42">
        <v>3752.3846930759501</v>
      </c>
      <c r="V42">
        <v>0</v>
      </c>
      <c r="W42">
        <v>1335848.95073504</v>
      </c>
      <c r="X42">
        <v>-499067.16417910397</v>
      </c>
      <c r="Y42">
        <v>165104.92649534199</v>
      </c>
      <c r="Z42">
        <v>-3752.3846930759601</v>
      </c>
      <c r="AB42">
        <f>M42-C42</f>
        <v>0</v>
      </c>
      <c r="AC42">
        <f t="shared" ref="AC42:AC49" si="33">N42-D42</f>
        <v>0</v>
      </c>
      <c r="AD42">
        <f t="shared" ref="AD42:AD49" si="34">O42-E42</f>
        <v>0</v>
      </c>
      <c r="AE42">
        <f t="shared" ref="AE42:AE49" si="35">P42-F42</f>
        <v>0</v>
      </c>
      <c r="AF42">
        <f t="shared" ref="AF42:AF49" si="36">Q42-G42</f>
        <v>0</v>
      </c>
      <c r="AG42">
        <f t="shared" ref="AG42:AG49" si="37">R42-H42</f>
        <v>0</v>
      </c>
      <c r="AH42">
        <f t="shared" ref="AH42:AH49" si="38">S42-I42</f>
        <v>0</v>
      </c>
      <c r="AI42">
        <f t="shared" ref="AI42:AI49" si="39">T42-J42</f>
        <v>0</v>
      </c>
    </row>
    <row r="43" spans="2:35" x14ac:dyDescent="0.25">
      <c r="B43">
        <v>1</v>
      </c>
      <c r="C43">
        <v>499067.16417910397</v>
      </c>
      <c r="D43">
        <v>1335848.95073504</v>
      </c>
      <c r="E43">
        <v>3752.38469307592</v>
      </c>
      <c r="F43">
        <v>165104.92649534199</v>
      </c>
      <c r="G43">
        <v>-499067.16417910397</v>
      </c>
      <c r="H43">
        <v>-667924.47536752303</v>
      </c>
      <c r="I43">
        <v>-3752.38469307593</v>
      </c>
      <c r="J43">
        <v>-833029.40186286601</v>
      </c>
      <c r="L43">
        <v>1</v>
      </c>
      <c r="M43">
        <v>499067.16417910397</v>
      </c>
      <c r="N43">
        <v>1335848.95073504</v>
      </c>
      <c r="O43">
        <v>3752.38469307592</v>
      </c>
      <c r="P43">
        <v>165104.92649534199</v>
      </c>
      <c r="Q43">
        <v>-499067.16417910397</v>
      </c>
      <c r="R43">
        <v>-667924.47536752303</v>
      </c>
      <c r="S43">
        <v>-3752.38469307593</v>
      </c>
      <c r="T43">
        <v>-833029.40186286601</v>
      </c>
      <c r="V43">
        <v>1</v>
      </c>
      <c r="W43">
        <v>-499067.16417910397</v>
      </c>
      <c r="X43">
        <v>1335848.95073504</v>
      </c>
      <c r="Y43">
        <v>3752.38469307593</v>
      </c>
      <c r="Z43">
        <v>-833029.40186286601</v>
      </c>
      <c r="AB43">
        <f t="shared" ref="AB43:AB49" si="40">M43-C43</f>
        <v>0</v>
      </c>
      <c r="AC43">
        <f t="shared" si="33"/>
        <v>0</v>
      </c>
      <c r="AD43">
        <f t="shared" si="34"/>
        <v>0</v>
      </c>
      <c r="AE43">
        <f t="shared" si="35"/>
        <v>0</v>
      </c>
      <c r="AF43">
        <f t="shared" si="36"/>
        <v>0</v>
      </c>
      <c r="AG43">
        <f t="shared" si="37"/>
        <v>0</v>
      </c>
      <c r="AH43">
        <f t="shared" si="38"/>
        <v>0</v>
      </c>
      <c r="AI43">
        <f t="shared" si="39"/>
        <v>0</v>
      </c>
    </row>
    <row r="44" spans="2:35" x14ac:dyDescent="0.25">
      <c r="B44">
        <v>2</v>
      </c>
      <c r="C44">
        <v>-833029.40186286601</v>
      </c>
      <c r="D44">
        <v>3752.38469307592</v>
      </c>
      <c r="E44">
        <v>1335848.95073504</v>
      </c>
      <c r="F44">
        <v>-499067.16417910397</v>
      </c>
      <c r="G44">
        <v>165104.92649534199</v>
      </c>
      <c r="H44">
        <v>-3752.3846930759601</v>
      </c>
      <c r="I44">
        <v>-667924.47536752303</v>
      </c>
      <c r="J44">
        <v>499067.16417910397</v>
      </c>
      <c r="L44">
        <v>2</v>
      </c>
      <c r="M44">
        <v>-833029.40186286601</v>
      </c>
      <c r="N44">
        <v>3752.38469307592</v>
      </c>
      <c r="O44">
        <v>1335848.95073504</v>
      </c>
      <c r="P44">
        <v>-499067.16417910397</v>
      </c>
      <c r="Q44">
        <v>165104.92649534199</v>
      </c>
      <c r="R44">
        <v>-3752.3846930759601</v>
      </c>
      <c r="S44">
        <v>-667924.47536752303</v>
      </c>
      <c r="T44">
        <v>499067.16417910397</v>
      </c>
      <c r="V44">
        <v>2</v>
      </c>
      <c r="W44">
        <v>165104.92649534199</v>
      </c>
      <c r="X44">
        <v>3752.38469307594</v>
      </c>
      <c r="Y44">
        <v>1335848.95073504</v>
      </c>
      <c r="Z44">
        <v>499067.16417910397</v>
      </c>
      <c r="AB44">
        <f t="shared" si="40"/>
        <v>0</v>
      </c>
      <c r="AC44">
        <f t="shared" si="33"/>
        <v>0</v>
      </c>
      <c r="AD44">
        <f t="shared" si="34"/>
        <v>0</v>
      </c>
      <c r="AE44">
        <f t="shared" si="35"/>
        <v>0</v>
      </c>
      <c r="AF44">
        <f t="shared" si="36"/>
        <v>0</v>
      </c>
      <c r="AG44">
        <f t="shared" si="37"/>
        <v>0</v>
      </c>
      <c r="AH44">
        <f t="shared" si="38"/>
        <v>0</v>
      </c>
      <c r="AI44">
        <f t="shared" si="39"/>
        <v>0</v>
      </c>
    </row>
    <row r="45" spans="2:35" x14ac:dyDescent="0.25">
      <c r="B45">
        <v>3</v>
      </c>
      <c r="C45">
        <v>-3752.38469307594</v>
      </c>
      <c r="D45">
        <v>165104.92649534199</v>
      </c>
      <c r="E45">
        <v>-499067.16417910397</v>
      </c>
      <c r="F45">
        <v>1335848.95073504</v>
      </c>
      <c r="G45">
        <v>3752.38469307593</v>
      </c>
      <c r="H45">
        <v>-833029.40186286601</v>
      </c>
      <c r="I45">
        <v>499067.16417910397</v>
      </c>
      <c r="J45">
        <v>-667924.47536752303</v>
      </c>
      <c r="L45">
        <v>3</v>
      </c>
      <c r="M45">
        <v>-3752.38469307594</v>
      </c>
      <c r="N45">
        <v>165104.92649534199</v>
      </c>
      <c r="O45">
        <v>-499067.16417910397</v>
      </c>
      <c r="P45">
        <v>1335848.95073504</v>
      </c>
      <c r="Q45">
        <v>3752.38469307593</v>
      </c>
      <c r="R45">
        <v>-833029.40186286601</v>
      </c>
      <c r="S45">
        <v>499067.16417910397</v>
      </c>
      <c r="T45">
        <v>-667924.47536752303</v>
      </c>
      <c r="V45">
        <v>3</v>
      </c>
      <c r="W45">
        <v>-3752.3846930759601</v>
      </c>
      <c r="X45">
        <v>-833029.40186286601</v>
      </c>
      <c r="Y45">
        <v>499067.16417910397</v>
      </c>
      <c r="Z45">
        <v>1335848.95073504</v>
      </c>
      <c r="AB45">
        <f t="shared" si="40"/>
        <v>0</v>
      </c>
      <c r="AC45">
        <f t="shared" si="33"/>
        <v>0</v>
      </c>
      <c r="AD45">
        <f t="shared" si="34"/>
        <v>0</v>
      </c>
      <c r="AE45">
        <f t="shared" si="35"/>
        <v>0</v>
      </c>
      <c r="AF45">
        <f t="shared" si="36"/>
        <v>0</v>
      </c>
      <c r="AG45">
        <f t="shared" si="37"/>
        <v>0</v>
      </c>
      <c r="AH45">
        <f t="shared" si="38"/>
        <v>0</v>
      </c>
      <c r="AI45">
        <f t="shared" si="39"/>
        <v>0</v>
      </c>
    </row>
    <row r="46" spans="2:35" x14ac:dyDescent="0.25">
      <c r="B46">
        <v>4</v>
      </c>
      <c r="C46">
        <v>-667924.47536752303</v>
      </c>
      <c r="D46">
        <v>-499067.16417910397</v>
      </c>
      <c r="E46">
        <v>165104.92649534199</v>
      </c>
      <c r="F46">
        <v>3752.38469307594</v>
      </c>
      <c r="G46">
        <v>1335848.95073504</v>
      </c>
      <c r="H46">
        <v>499067.16417910397</v>
      </c>
      <c r="I46">
        <v>-833029.40186286601</v>
      </c>
      <c r="J46">
        <v>-3752.3846930759701</v>
      </c>
      <c r="L46">
        <v>4</v>
      </c>
      <c r="M46">
        <v>-667924.47536752303</v>
      </c>
      <c r="N46">
        <v>-499067.16417910397</v>
      </c>
      <c r="O46">
        <v>165104.92649534199</v>
      </c>
      <c r="P46">
        <v>3752.38469307594</v>
      </c>
      <c r="Q46">
        <v>1335848.95073504</v>
      </c>
      <c r="R46">
        <v>499067.16417910397</v>
      </c>
      <c r="S46">
        <v>-833029.40186286601</v>
      </c>
      <c r="T46">
        <v>-3752.3846930759701</v>
      </c>
      <c r="AB46">
        <f t="shared" si="40"/>
        <v>0</v>
      </c>
      <c r="AC46">
        <f t="shared" si="33"/>
        <v>0</v>
      </c>
      <c r="AD46">
        <f t="shared" si="34"/>
        <v>0</v>
      </c>
      <c r="AE46">
        <f t="shared" si="35"/>
        <v>0</v>
      </c>
      <c r="AF46">
        <f t="shared" si="36"/>
        <v>0</v>
      </c>
      <c r="AG46">
        <f t="shared" si="37"/>
        <v>0</v>
      </c>
      <c r="AH46">
        <f t="shared" si="38"/>
        <v>0</v>
      </c>
      <c r="AI46">
        <f t="shared" si="39"/>
        <v>0</v>
      </c>
    </row>
    <row r="47" spans="2:35" x14ac:dyDescent="0.25">
      <c r="B47">
        <v>5</v>
      </c>
      <c r="C47">
        <v>-499067.16417910397</v>
      </c>
      <c r="D47">
        <v>-667924.47536752303</v>
      </c>
      <c r="E47">
        <v>-3752.3846930759601</v>
      </c>
      <c r="F47">
        <v>-833029.40186286601</v>
      </c>
      <c r="G47">
        <v>499067.16417910397</v>
      </c>
      <c r="H47">
        <v>1335848.95073504</v>
      </c>
      <c r="I47">
        <v>3752.38469307594</v>
      </c>
      <c r="J47">
        <v>165104.92649534199</v>
      </c>
      <c r="L47">
        <v>5</v>
      </c>
      <c r="M47">
        <v>-499067.16417910397</v>
      </c>
      <c r="N47">
        <v>-667924.47536752303</v>
      </c>
      <c r="O47">
        <v>-3752.3846930759601</v>
      </c>
      <c r="P47">
        <v>-833029.40186286601</v>
      </c>
      <c r="Q47">
        <v>499067.16417910397</v>
      </c>
      <c r="R47">
        <v>1335848.95073504</v>
      </c>
      <c r="S47">
        <v>3752.38469307594</v>
      </c>
      <c r="T47">
        <v>165104.92649534199</v>
      </c>
      <c r="AB47">
        <f t="shared" si="40"/>
        <v>0</v>
      </c>
      <c r="AC47">
        <f t="shared" si="33"/>
        <v>0</v>
      </c>
      <c r="AD47">
        <f t="shared" si="34"/>
        <v>0</v>
      </c>
      <c r="AE47">
        <f t="shared" si="35"/>
        <v>0</v>
      </c>
      <c r="AF47">
        <f t="shared" si="36"/>
        <v>0</v>
      </c>
      <c r="AG47">
        <f t="shared" si="37"/>
        <v>0</v>
      </c>
      <c r="AH47">
        <f t="shared" si="38"/>
        <v>0</v>
      </c>
      <c r="AI47">
        <f t="shared" si="39"/>
        <v>0</v>
      </c>
    </row>
    <row r="48" spans="2:35" x14ac:dyDescent="0.25">
      <c r="B48">
        <v>6</v>
      </c>
      <c r="C48">
        <v>165104.92649534199</v>
      </c>
      <c r="D48">
        <v>-3752.38469307594</v>
      </c>
      <c r="E48">
        <v>-667924.47536752303</v>
      </c>
      <c r="F48">
        <v>499067.16417910397</v>
      </c>
      <c r="G48">
        <v>-833029.40186286601</v>
      </c>
      <c r="H48">
        <v>3752.3846930759701</v>
      </c>
      <c r="I48">
        <v>1335848.95073504</v>
      </c>
      <c r="J48">
        <v>-499067.16417910397</v>
      </c>
      <c r="L48">
        <v>6</v>
      </c>
      <c r="M48">
        <v>165104.92649534199</v>
      </c>
      <c r="N48">
        <v>-3752.38469307594</v>
      </c>
      <c r="O48">
        <v>-667924.47536752303</v>
      </c>
      <c r="P48">
        <v>499067.16417910397</v>
      </c>
      <c r="Q48">
        <v>-833029.40186286601</v>
      </c>
      <c r="R48">
        <v>3752.3846930759701</v>
      </c>
      <c r="S48">
        <v>1335848.95073504</v>
      </c>
      <c r="T48">
        <v>-499067.16417910397</v>
      </c>
      <c r="AB48">
        <f t="shared" si="40"/>
        <v>0</v>
      </c>
      <c r="AC48">
        <f t="shared" si="33"/>
        <v>0</v>
      </c>
      <c r="AD48">
        <f t="shared" si="34"/>
        <v>0</v>
      </c>
      <c r="AE48">
        <f t="shared" si="35"/>
        <v>0</v>
      </c>
      <c r="AF48">
        <f t="shared" si="36"/>
        <v>0</v>
      </c>
      <c r="AG48">
        <f t="shared" si="37"/>
        <v>0</v>
      </c>
      <c r="AH48">
        <f t="shared" si="38"/>
        <v>0</v>
      </c>
      <c r="AI48">
        <f t="shared" si="39"/>
        <v>0</v>
      </c>
    </row>
    <row r="49" spans="2:35" x14ac:dyDescent="0.25">
      <c r="B49">
        <v>7</v>
      </c>
      <c r="C49">
        <v>3752.3846930759701</v>
      </c>
      <c r="D49">
        <v>-833029.40186286601</v>
      </c>
      <c r="E49">
        <v>499067.16417910397</v>
      </c>
      <c r="F49">
        <v>-667924.47536752303</v>
      </c>
      <c r="G49">
        <v>-3752.3846930759701</v>
      </c>
      <c r="H49">
        <v>165104.92649534199</v>
      </c>
      <c r="I49">
        <v>-499067.16417910397</v>
      </c>
      <c r="J49">
        <v>1335848.95073504</v>
      </c>
      <c r="L49">
        <v>7</v>
      </c>
      <c r="M49">
        <v>3752.3846930759701</v>
      </c>
      <c r="N49">
        <v>-833029.40186286601</v>
      </c>
      <c r="O49">
        <v>499067.16417910397</v>
      </c>
      <c r="P49">
        <v>-667924.47536752303</v>
      </c>
      <c r="Q49">
        <v>-3752.3846930759701</v>
      </c>
      <c r="R49">
        <v>165104.92649534199</v>
      </c>
      <c r="S49">
        <v>-499067.16417910397</v>
      </c>
      <c r="T49">
        <v>1335848.95073504</v>
      </c>
      <c r="AB49">
        <f t="shared" si="40"/>
        <v>0</v>
      </c>
      <c r="AC49">
        <f t="shared" si="33"/>
        <v>0</v>
      </c>
      <c r="AD49">
        <f t="shared" si="34"/>
        <v>0</v>
      </c>
      <c r="AE49">
        <f t="shared" si="35"/>
        <v>0</v>
      </c>
      <c r="AF49">
        <f t="shared" si="36"/>
        <v>0</v>
      </c>
      <c r="AG49">
        <f t="shared" si="37"/>
        <v>0</v>
      </c>
      <c r="AH49">
        <f t="shared" si="38"/>
        <v>0</v>
      </c>
      <c r="AI49">
        <f t="shared" si="39"/>
        <v>0</v>
      </c>
    </row>
    <row r="51" spans="2:35" x14ac:dyDescent="0.25">
      <c r="B51" s="1" t="s">
        <v>11</v>
      </c>
      <c r="C51" s="1"/>
      <c r="D51" s="1"/>
      <c r="E51" s="1"/>
      <c r="F51" s="1"/>
      <c r="G51" s="1"/>
      <c r="H51" s="1"/>
      <c r="I51" s="1"/>
      <c r="J51" s="1"/>
      <c r="L51" s="1" t="s">
        <v>12</v>
      </c>
      <c r="M51" s="1"/>
      <c r="N51" s="1"/>
      <c r="O51" s="1"/>
      <c r="P51" s="1"/>
      <c r="Q51" s="1"/>
      <c r="R51" s="1"/>
      <c r="S51" s="1"/>
      <c r="T51" s="1"/>
      <c r="V51" s="1" t="s">
        <v>4</v>
      </c>
      <c r="W51" s="1"/>
      <c r="X51" s="1"/>
      <c r="Y51" s="1"/>
      <c r="Z51" s="1"/>
    </row>
    <row r="52" spans="2:35" x14ac:dyDescent="0.25">
      <c r="B52">
        <v>0</v>
      </c>
      <c r="C52">
        <v>1335848.95073504</v>
      </c>
      <c r="D52">
        <v>499067.16417910397</v>
      </c>
      <c r="E52">
        <v>-833029.40186286601</v>
      </c>
      <c r="F52">
        <v>-3752.38469307594</v>
      </c>
      <c r="G52">
        <v>-667924.47536752303</v>
      </c>
      <c r="H52">
        <v>-499067.16417910397</v>
      </c>
      <c r="I52">
        <v>165104.92649534199</v>
      </c>
      <c r="J52">
        <v>3752.3846930759501</v>
      </c>
      <c r="L52">
        <v>0</v>
      </c>
      <c r="M52">
        <v>1335848.95073504</v>
      </c>
      <c r="N52">
        <v>499067.16417910397</v>
      </c>
      <c r="O52">
        <v>-833029.40186286601</v>
      </c>
      <c r="P52">
        <v>-3752.38469307594</v>
      </c>
      <c r="Q52">
        <v>-667924.47536752303</v>
      </c>
      <c r="R52">
        <v>-499067.16417910397</v>
      </c>
      <c r="S52">
        <v>165104.92649534199</v>
      </c>
      <c r="T52">
        <v>3752.3846930759501</v>
      </c>
      <c r="V52">
        <v>0</v>
      </c>
      <c r="W52">
        <v>1335848.95073504</v>
      </c>
      <c r="X52">
        <v>-499067.16417910397</v>
      </c>
      <c r="Y52">
        <v>165104.92649534199</v>
      </c>
      <c r="Z52">
        <v>-3752.3846930759601</v>
      </c>
      <c r="AB52">
        <f>M52-C52</f>
        <v>0</v>
      </c>
      <c r="AC52">
        <f t="shared" ref="AC52:AC59" si="41">N52-D52</f>
        <v>0</v>
      </c>
      <c r="AD52">
        <f t="shared" ref="AD52:AD59" si="42">O52-E52</f>
        <v>0</v>
      </c>
      <c r="AE52">
        <f t="shared" ref="AE52:AE59" si="43">P52-F52</f>
        <v>0</v>
      </c>
      <c r="AF52">
        <f t="shared" ref="AF52:AF59" si="44">Q52-G52</f>
        <v>0</v>
      </c>
      <c r="AG52">
        <f t="shared" ref="AG52:AG59" si="45">R52-H52</f>
        <v>0</v>
      </c>
      <c r="AH52">
        <f t="shared" ref="AH52:AH59" si="46">S52-I52</f>
        <v>0</v>
      </c>
      <c r="AI52">
        <f t="shared" ref="AI52:AI59" si="47">T52-J52</f>
        <v>0</v>
      </c>
    </row>
    <row r="53" spans="2:35" x14ac:dyDescent="0.25">
      <c r="B53">
        <v>1</v>
      </c>
      <c r="C53">
        <v>499067.16417910397</v>
      </c>
      <c r="D53">
        <v>1335848.95073504</v>
      </c>
      <c r="E53">
        <v>3752.38469307592</v>
      </c>
      <c r="F53">
        <v>165104.92649534199</v>
      </c>
      <c r="G53">
        <v>-499067.16417910397</v>
      </c>
      <c r="H53">
        <v>-667924.47536752303</v>
      </c>
      <c r="I53">
        <v>-3752.38469307593</v>
      </c>
      <c r="J53">
        <v>-833029.40186286601</v>
      </c>
      <c r="L53">
        <v>1</v>
      </c>
      <c r="M53">
        <v>499067.16417910397</v>
      </c>
      <c r="N53">
        <v>1335848.95073504</v>
      </c>
      <c r="O53">
        <v>3752.38469307592</v>
      </c>
      <c r="P53">
        <v>165104.92649534199</v>
      </c>
      <c r="Q53">
        <v>-499067.16417910397</v>
      </c>
      <c r="R53">
        <v>-667924.47536752303</v>
      </c>
      <c r="S53">
        <v>-3752.38469307593</v>
      </c>
      <c r="T53">
        <v>-833029.40186286601</v>
      </c>
      <c r="V53">
        <v>1</v>
      </c>
      <c r="W53">
        <v>-499067.16417910397</v>
      </c>
      <c r="X53">
        <v>1335848.95073504</v>
      </c>
      <c r="Y53">
        <v>3752.38469307593</v>
      </c>
      <c r="Z53">
        <v>-833029.40186286601</v>
      </c>
      <c r="AB53">
        <f t="shared" ref="AB53:AB59" si="48">M53-C53</f>
        <v>0</v>
      </c>
      <c r="AC53">
        <f t="shared" si="41"/>
        <v>0</v>
      </c>
      <c r="AD53">
        <f t="shared" si="42"/>
        <v>0</v>
      </c>
      <c r="AE53">
        <f t="shared" si="43"/>
        <v>0</v>
      </c>
      <c r="AF53">
        <f t="shared" si="44"/>
        <v>0</v>
      </c>
      <c r="AG53">
        <f t="shared" si="45"/>
        <v>0</v>
      </c>
      <c r="AH53">
        <f t="shared" si="46"/>
        <v>0</v>
      </c>
      <c r="AI53">
        <f t="shared" si="47"/>
        <v>0</v>
      </c>
    </row>
    <row r="54" spans="2:35" x14ac:dyDescent="0.25">
      <c r="B54">
        <v>2</v>
      </c>
      <c r="C54">
        <v>-833029.40186286601</v>
      </c>
      <c r="D54">
        <v>3752.38469307592</v>
      </c>
      <c r="E54">
        <v>1335848.95073504</v>
      </c>
      <c r="F54">
        <v>-499067.16417910397</v>
      </c>
      <c r="G54">
        <v>165104.92649534199</v>
      </c>
      <c r="H54">
        <v>-3752.3846930759601</v>
      </c>
      <c r="I54">
        <v>-667924.47536752303</v>
      </c>
      <c r="J54">
        <v>499067.16417910397</v>
      </c>
      <c r="L54">
        <v>2</v>
      </c>
      <c r="M54">
        <v>-833029.40186286601</v>
      </c>
      <c r="N54">
        <v>3752.38469307592</v>
      </c>
      <c r="O54">
        <v>1335848.95073504</v>
      </c>
      <c r="P54">
        <v>-499067.16417910397</v>
      </c>
      <c r="Q54">
        <v>165104.92649534199</v>
      </c>
      <c r="R54">
        <v>-3752.3846930759601</v>
      </c>
      <c r="S54">
        <v>-667924.47536752303</v>
      </c>
      <c r="T54">
        <v>499067.16417910397</v>
      </c>
      <c r="V54">
        <v>2</v>
      </c>
      <c r="W54">
        <v>165104.92649534199</v>
      </c>
      <c r="X54">
        <v>3752.38469307594</v>
      </c>
      <c r="Y54">
        <v>1335848.95073504</v>
      </c>
      <c r="Z54">
        <v>499067.16417910397</v>
      </c>
      <c r="AB54">
        <f t="shared" si="48"/>
        <v>0</v>
      </c>
      <c r="AC54">
        <f t="shared" si="41"/>
        <v>0</v>
      </c>
      <c r="AD54">
        <f t="shared" si="42"/>
        <v>0</v>
      </c>
      <c r="AE54">
        <f t="shared" si="43"/>
        <v>0</v>
      </c>
      <c r="AF54">
        <f t="shared" si="44"/>
        <v>0</v>
      </c>
      <c r="AG54">
        <f t="shared" si="45"/>
        <v>0</v>
      </c>
      <c r="AH54">
        <f t="shared" si="46"/>
        <v>0</v>
      </c>
      <c r="AI54">
        <f t="shared" si="47"/>
        <v>0</v>
      </c>
    </row>
    <row r="55" spans="2:35" x14ac:dyDescent="0.25">
      <c r="B55">
        <v>3</v>
      </c>
      <c r="C55">
        <v>-3752.38469307594</v>
      </c>
      <c r="D55">
        <v>165104.92649534199</v>
      </c>
      <c r="E55">
        <v>-499067.16417910397</v>
      </c>
      <c r="F55">
        <v>1335848.95073504</v>
      </c>
      <c r="G55">
        <v>3752.38469307593</v>
      </c>
      <c r="H55">
        <v>-833029.40186286601</v>
      </c>
      <c r="I55">
        <v>499067.16417910397</v>
      </c>
      <c r="J55">
        <v>-667924.47536752303</v>
      </c>
      <c r="L55">
        <v>3</v>
      </c>
      <c r="M55">
        <v>-3752.38469307594</v>
      </c>
      <c r="N55">
        <v>165104.92649534199</v>
      </c>
      <c r="O55">
        <v>-499067.16417910397</v>
      </c>
      <c r="P55">
        <v>1335848.95073504</v>
      </c>
      <c r="Q55">
        <v>3752.38469307593</v>
      </c>
      <c r="R55">
        <v>-833029.40186286601</v>
      </c>
      <c r="S55">
        <v>499067.16417910397</v>
      </c>
      <c r="T55">
        <v>-667924.47536752303</v>
      </c>
      <c r="V55">
        <v>3</v>
      </c>
      <c r="W55">
        <v>-3752.3846930759601</v>
      </c>
      <c r="X55">
        <v>-833029.40186286601</v>
      </c>
      <c r="Y55">
        <v>499067.16417910397</v>
      </c>
      <c r="Z55">
        <v>1335848.95073504</v>
      </c>
      <c r="AB55">
        <f t="shared" si="48"/>
        <v>0</v>
      </c>
      <c r="AC55">
        <f t="shared" si="41"/>
        <v>0</v>
      </c>
      <c r="AD55">
        <f t="shared" si="42"/>
        <v>0</v>
      </c>
      <c r="AE55">
        <f t="shared" si="43"/>
        <v>0</v>
      </c>
      <c r="AF55">
        <f t="shared" si="44"/>
        <v>0</v>
      </c>
      <c r="AG55">
        <f t="shared" si="45"/>
        <v>0</v>
      </c>
      <c r="AH55">
        <f t="shared" si="46"/>
        <v>0</v>
      </c>
      <c r="AI55">
        <f t="shared" si="47"/>
        <v>0</v>
      </c>
    </row>
    <row r="56" spans="2:35" x14ac:dyDescent="0.25">
      <c r="B56">
        <v>4</v>
      </c>
      <c r="C56">
        <v>-667924.47536752303</v>
      </c>
      <c r="D56">
        <v>-499067.16417910397</v>
      </c>
      <c r="E56">
        <v>165104.92649534199</v>
      </c>
      <c r="F56">
        <v>3752.38469307594</v>
      </c>
      <c r="G56">
        <v>1335848.95073504</v>
      </c>
      <c r="H56">
        <v>499067.16417910397</v>
      </c>
      <c r="I56">
        <v>-833029.40186286601</v>
      </c>
      <c r="J56">
        <v>-3752.3846930759701</v>
      </c>
      <c r="L56">
        <v>4</v>
      </c>
      <c r="M56">
        <v>-667924.47536752303</v>
      </c>
      <c r="N56">
        <v>-499067.16417910397</v>
      </c>
      <c r="O56">
        <v>165104.92649534199</v>
      </c>
      <c r="P56">
        <v>3752.38469307594</v>
      </c>
      <c r="Q56">
        <v>1335848.95073504</v>
      </c>
      <c r="R56">
        <v>499067.16417910397</v>
      </c>
      <c r="S56">
        <v>-833029.40186286601</v>
      </c>
      <c r="T56">
        <v>-3752.3846930759701</v>
      </c>
      <c r="AB56">
        <f t="shared" si="48"/>
        <v>0</v>
      </c>
      <c r="AC56">
        <f t="shared" si="41"/>
        <v>0</v>
      </c>
      <c r="AD56">
        <f t="shared" si="42"/>
        <v>0</v>
      </c>
      <c r="AE56">
        <f t="shared" si="43"/>
        <v>0</v>
      </c>
      <c r="AF56">
        <f t="shared" si="44"/>
        <v>0</v>
      </c>
      <c r="AG56">
        <f t="shared" si="45"/>
        <v>0</v>
      </c>
      <c r="AH56">
        <f t="shared" si="46"/>
        <v>0</v>
      </c>
      <c r="AI56">
        <f t="shared" si="47"/>
        <v>0</v>
      </c>
    </row>
    <row r="57" spans="2:35" x14ac:dyDescent="0.25">
      <c r="B57">
        <v>5</v>
      </c>
      <c r="C57">
        <v>-499067.16417910397</v>
      </c>
      <c r="D57">
        <v>-667924.47536752303</v>
      </c>
      <c r="E57">
        <v>-3752.3846930759601</v>
      </c>
      <c r="F57">
        <v>-833029.40186286601</v>
      </c>
      <c r="G57">
        <v>499067.16417910397</v>
      </c>
      <c r="H57">
        <v>1335848.95073504</v>
      </c>
      <c r="I57">
        <v>3752.38469307594</v>
      </c>
      <c r="J57">
        <v>165104.92649534199</v>
      </c>
      <c r="L57">
        <v>5</v>
      </c>
      <c r="M57">
        <v>-499067.16417910397</v>
      </c>
      <c r="N57">
        <v>-667924.47536752303</v>
      </c>
      <c r="O57">
        <v>-3752.3846930759601</v>
      </c>
      <c r="P57">
        <v>-833029.40186286601</v>
      </c>
      <c r="Q57">
        <v>499067.16417910397</v>
      </c>
      <c r="R57">
        <v>1335848.95073504</v>
      </c>
      <c r="S57">
        <v>3752.38469307594</v>
      </c>
      <c r="T57">
        <v>165104.92649534199</v>
      </c>
      <c r="AB57">
        <f t="shared" si="48"/>
        <v>0</v>
      </c>
      <c r="AC57">
        <f t="shared" si="41"/>
        <v>0</v>
      </c>
      <c r="AD57">
        <f t="shared" si="42"/>
        <v>0</v>
      </c>
      <c r="AE57">
        <f t="shared" si="43"/>
        <v>0</v>
      </c>
      <c r="AF57">
        <f t="shared" si="44"/>
        <v>0</v>
      </c>
      <c r="AG57">
        <f t="shared" si="45"/>
        <v>0</v>
      </c>
      <c r="AH57">
        <f t="shared" si="46"/>
        <v>0</v>
      </c>
      <c r="AI57">
        <f t="shared" si="47"/>
        <v>0</v>
      </c>
    </row>
    <row r="58" spans="2:35" x14ac:dyDescent="0.25">
      <c r="B58">
        <v>6</v>
      </c>
      <c r="C58">
        <v>165104.92649534199</v>
      </c>
      <c r="D58">
        <v>-3752.38469307594</v>
      </c>
      <c r="E58">
        <v>-667924.47536752303</v>
      </c>
      <c r="F58">
        <v>499067.16417910397</v>
      </c>
      <c r="G58">
        <v>-833029.40186286601</v>
      </c>
      <c r="H58">
        <v>3752.3846930759701</v>
      </c>
      <c r="I58">
        <v>1335848.95073504</v>
      </c>
      <c r="J58">
        <v>-499067.16417910397</v>
      </c>
      <c r="L58">
        <v>6</v>
      </c>
      <c r="M58">
        <v>165104.92649534199</v>
      </c>
      <c r="N58">
        <v>-3752.38469307594</v>
      </c>
      <c r="O58">
        <v>-667924.47536752303</v>
      </c>
      <c r="P58">
        <v>499067.16417910397</v>
      </c>
      <c r="Q58">
        <v>-833029.40186286601</v>
      </c>
      <c r="R58">
        <v>3752.3846930759701</v>
      </c>
      <c r="S58">
        <v>1335848.95073504</v>
      </c>
      <c r="T58">
        <v>-499067.16417910397</v>
      </c>
      <c r="AB58">
        <f t="shared" si="48"/>
        <v>0</v>
      </c>
      <c r="AC58">
        <f t="shared" si="41"/>
        <v>0</v>
      </c>
      <c r="AD58">
        <f t="shared" si="42"/>
        <v>0</v>
      </c>
      <c r="AE58">
        <f t="shared" si="43"/>
        <v>0</v>
      </c>
      <c r="AF58">
        <f t="shared" si="44"/>
        <v>0</v>
      </c>
      <c r="AG58">
        <f t="shared" si="45"/>
        <v>0</v>
      </c>
      <c r="AH58">
        <f t="shared" si="46"/>
        <v>0</v>
      </c>
      <c r="AI58">
        <f t="shared" si="47"/>
        <v>0</v>
      </c>
    </row>
    <row r="59" spans="2:35" x14ac:dyDescent="0.25">
      <c r="B59">
        <v>7</v>
      </c>
      <c r="C59">
        <v>3752.3846930759701</v>
      </c>
      <c r="D59">
        <v>-833029.40186286601</v>
      </c>
      <c r="E59">
        <v>499067.16417910397</v>
      </c>
      <c r="F59">
        <v>-667924.47536752303</v>
      </c>
      <c r="G59">
        <v>-3752.3846930759701</v>
      </c>
      <c r="H59">
        <v>165104.92649534199</v>
      </c>
      <c r="I59">
        <v>-499067.16417910397</v>
      </c>
      <c r="J59">
        <v>1335848.95073504</v>
      </c>
      <c r="L59">
        <v>7</v>
      </c>
      <c r="M59">
        <v>3752.3846930759701</v>
      </c>
      <c r="N59">
        <v>-833029.40186286601</v>
      </c>
      <c r="O59">
        <v>499067.16417910397</v>
      </c>
      <c r="P59">
        <v>-667924.47536752303</v>
      </c>
      <c r="Q59">
        <v>-3752.3846930759701</v>
      </c>
      <c r="R59">
        <v>165104.92649534199</v>
      </c>
      <c r="S59">
        <v>-499067.16417910397</v>
      </c>
      <c r="T59">
        <v>1335848.95073504</v>
      </c>
      <c r="AB59">
        <f t="shared" si="48"/>
        <v>0</v>
      </c>
      <c r="AC59">
        <f t="shared" si="41"/>
        <v>0</v>
      </c>
      <c r="AD59">
        <f t="shared" si="42"/>
        <v>0</v>
      </c>
      <c r="AE59">
        <f t="shared" si="43"/>
        <v>0</v>
      </c>
      <c r="AF59">
        <f t="shared" si="44"/>
        <v>0</v>
      </c>
      <c r="AG59">
        <f t="shared" si="45"/>
        <v>0</v>
      </c>
      <c r="AH59">
        <f t="shared" si="46"/>
        <v>0</v>
      </c>
      <c r="AI59">
        <f t="shared" si="47"/>
        <v>0</v>
      </c>
    </row>
  </sheetData>
  <mergeCells count="16">
    <mergeCell ref="B51:J51"/>
    <mergeCell ref="L51:T51"/>
    <mergeCell ref="V51:Z51"/>
    <mergeCell ref="V21:Z21"/>
    <mergeCell ref="B31:J31"/>
    <mergeCell ref="L31:T31"/>
    <mergeCell ref="V31:Z31"/>
    <mergeCell ref="B41:J41"/>
    <mergeCell ref="L41:T41"/>
    <mergeCell ref="V41:Z41"/>
    <mergeCell ref="B1:J1"/>
    <mergeCell ref="L1:T1"/>
    <mergeCell ref="L11:T11"/>
    <mergeCell ref="B11:J11"/>
    <mergeCell ref="B21:J21"/>
    <mergeCell ref="L21:T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AB3E-CBAF-41B5-8C42-E6864FEBE980}">
  <dimension ref="B2:AA25"/>
  <sheetViews>
    <sheetView workbookViewId="0">
      <selection activeCell="F19" sqref="F19"/>
    </sheetView>
    <sheetView tabSelected="1" workbookViewId="1">
      <selection activeCell="W16" sqref="W16:AA25"/>
    </sheetView>
  </sheetViews>
  <sheetFormatPr defaultRowHeight="15" x14ac:dyDescent="0.25"/>
  <sheetData>
    <row r="2" spans="2:27" ht="42" x14ac:dyDescent="0.25"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7" ht="21" x14ac:dyDescent="0.25">
      <c r="B3" s="3">
        <v>1</v>
      </c>
      <c r="C3" s="3">
        <v>0</v>
      </c>
      <c r="D3" s="3">
        <v>-1</v>
      </c>
      <c r="E3" s="3">
        <v>-1</v>
      </c>
      <c r="F3" s="3">
        <v>0</v>
      </c>
      <c r="G3" s="3">
        <v>2</v>
      </c>
      <c r="H3" s="3" t="s">
        <v>24</v>
      </c>
      <c r="I3" s="3">
        <v>0</v>
      </c>
      <c r="J3" s="3">
        <v>0</v>
      </c>
      <c r="K3" s="3">
        <v>0</v>
      </c>
      <c r="L3" s="3">
        <v>0</v>
      </c>
      <c r="N3" s="4">
        <v>1</v>
      </c>
      <c r="O3" s="3" t="s">
        <v>24</v>
      </c>
      <c r="P3" cm="1">
        <f t="array" ref="P3">INDEX($I$3:$L$10,MATCH(1,($B$3:$B$10=$N3)*($H$3:$H$10=$O3),0),MATCH(P$2,$I$2:$L$2,0))</f>
        <v>0</v>
      </c>
      <c r="Q3" cm="1">
        <f t="array" ref="Q3">INDEX($I$3:$L$10,MATCH(1,($B$3:$B$10=$N3)*($H$3:$H$10=$O3),0),MATCH(Q$2,$I$2:$L$2,0))</f>
        <v>0</v>
      </c>
      <c r="R3" cm="1">
        <f t="array" ref="R3">INDEX($I$3:$L$10,MATCH(1,($B$3:$B$10=$N3)*($H$3:$H$10=$O3),0),MATCH(R$2,$I$2:$L$2,0))</f>
        <v>0</v>
      </c>
      <c r="S3" cm="1">
        <f t="array" ref="S3">INDEX($I$3:$L$10,MATCH(1,($B$3:$B$10=$N3)*($H$3:$H$10=$O3),0),MATCH(S$2,$I$2:$L$2,0))</f>
        <v>0</v>
      </c>
    </row>
    <row r="4" spans="2:27" ht="21" x14ac:dyDescent="0.25">
      <c r="B4" s="3">
        <v>2</v>
      </c>
      <c r="C4" s="3">
        <v>0</v>
      </c>
      <c r="D4" s="3">
        <v>1</v>
      </c>
      <c r="E4" s="3">
        <v>-1</v>
      </c>
      <c r="F4" s="3">
        <v>0</v>
      </c>
      <c r="G4" s="3">
        <v>2</v>
      </c>
      <c r="H4" s="3" t="s">
        <v>24</v>
      </c>
      <c r="I4" s="3">
        <v>-7.5784099999999998E-3</v>
      </c>
      <c r="J4" s="3">
        <v>1.0289700000000001E-2</v>
      </c>
      <c r="K4" s="3">
        <v>1.48515E-2</v>
      </c>
      <c r="L4" s="3">
        <v>1.21402E-2</v>
      </c>
      <c r="N4" s="4">
        <v>1</v>
      </c>
      <c r="O4" s="3" t="s">
        <v>25</v>
      </c>
      <c r="P4" cm="1">
        <f t="array" ref="P4">INDEX($I$3:$L$10,MATCH(1,($B$3:$B$10=$N4)*($H$3:$H$10=$O4),0),MATCH(P$2,$I$2:$L$2,0))</f>
        <v>0</v>
      </c>
      <c r="Q4" cm="1">
        <f t="array" ref="Q4">INDEX($I$3:$L$10,MATCH(1,($B$3:$B$10=$N4)*($H$3:$H$10=$O4),0),MATCH(Q$2,$I$2:$L$2,0))</f>
        <v>0</v>
      </c>
      <c r="R4" cm="1">
        <f t="array" ref="R4">INDEX($I$3:$L$10,MATCH(1,($B$3:$B$10=$N4)*($H$3:$H$10=$O4),0),MATCH(R$2,$I$2:$L$2,0))</f>
        <v>0</v>
      </c>
      <c r="S4" cm="1">
        <f t="array" ref="S4">INDEX($I$3:$L$10,MATCH(1,($B$3:$B$10=$N4)*($H$3:$H$10=$O4),0),MATCH(S$2,$I$2:$L$2,0))</f>
        <v>0</v>
      </c>
    </row>
    <row r="5" spans="2:27" ht="21" x14ac:dyDescent="0.25">
      <c r="B5" s="3">
        <v>3</v>
      </c>
      <c r="C5" s="3">
        <v>0</v>
      </c>
      <c r="D5" s="3">
        <v>1</v>
      </c>
      <c r="E5" s="3">
        <v>1</v>
      </c>
      <c r="F5" s="3">
        <v>0</v>
      </c>
      <c r="G5" s="3">
        <v>2</v>
      </c>
      <c r="H5" s="3" t="s">
        <v>24</v>
      </c>
      <c r="I5" s="3">
        <v>1.48515E-2</v>
      </c>
      <c r="J5" s="3">
        <v>-1.21402E-2</v>
      </c>
      <c r="K5" s="3">
        <v>-7.5784099999999998E-3</v>
      </c>
      <c r="L5" s="3">
        <v>-1.0289700000000001E-2</v>
      </c>
      <c r="N5" s="4">
        <v>2</v>
      </c>
      <c r="O5" s="3" t="s">
        <v>24</v>
      </c>
      <c r="P5" cm="1">
        <f t="array" ref="P5">INDEX($I$3:$L$10,MATCH(1,($B$3:$B$10=$N5)*($H$3:$H$10=$O5),0),MATCH(P$2,$I$2:$L$2,0))</f>
        <v>-7.5784099999999998E-3</v>
      </c>
      <c r="Q5" cm="1">
        <f t="array" ref="Q5">INDEX($I$3:$L$10,MATCH(1,($B$3:$B$10=$N5)*($H$3:$H$10=$O5),0),MATCH(Q$2,$I$2:$L$2,0))</f>
        <v>1.0289700000000001E-2</v>
      </c>
      <c r="R5" cm="1">
        <f t="array" ref="R5">INDEX($I$3:$L$10,MATCH(1,($B$3:$B$10=$N5)*($H$3:$H$10=$O5),0),MATCH(R$2,$I$2:$L$2,0))</f>
        <v>1.48515E-2</v>
      </c>
      <c r="S5" cm="1">
        <f t="array" ref="S5">INDEX($I$3:$L$10,MATCH(1,($B$3:$B$10=$N5)*($H$3:$H$10=$O5),0),MATCH(S$2,$I$2:$L$2,0))</f>
        <v>1.21402E-2</v>
      </c>
    </row>
    <row r="6" spans="2:27" ht="21" x14ac:dyDescent="0.25">
      <c r="B6" s="3">
        <v>4</v>
      </c>
      <c r="C6" s="3">
        <v>0</v>
      </c>
      <c r="D6" s="3">
        <v>-1</v>
      </c>
      <c r="E6" s="3">
        <v>1</v>
      </c>
      <c r="F6" s="3">
        <v>0</v>
      </c>
      <c r="G6" s="3">
        <v>2</v>
      </c>
      <c r="H6" s="3" t="s">
        <v>24</v>
      </c>
      <c r="I6" s="3">
        <v>0</v>
      </c>
      <c r="J6" s="3">
        <v>0</v>
      </c>
      <c r="K6" s="3">
        <v>0</v>
      </c>
      <c r="L6" s="3">
        <v>0</v>
      </c>
      <c r="N6" s="5">
        <v>2</v>
      </c>
      <c r="O6" s="3" t="s">
        <v>25</v>
      </c>
      <c r="P6" cm="1">
        <f t="array" ref="P6">INDEX($I$3:$L$10,MATCH(1,($B$3:$B$10=$N6)*($H$3:$H$10=$O6),0),MATCH(P$2,$I$2:$L$2,0))</f>
        <v>-1.0289700000000001E-2</v>
      </c>
      <c r="Q6" cm="1">
        <f t="array" ref="Q6">INDEX($I$3:$L$10,MATCH(1,($B$3:$B$10=$N6)*($H$3:$H$10=$O6),0),MATCH(Q$2,$I$2:$L$2,0))</f>
        <v>1.8355099999999999E-2</v>
      </c>
      <c r="R6" cm="1">
        <f t="array" ref="R6">INDEX($I$3:$L$10,MATCH(1,($B$3:$B$10=$N6)*($H$3:$H$10=$O6),0),MATCH(R$2,$I$2:$L$2,0))</f>
        <v>1.21402E-2</v>
      </c>
      <c r="S6" cm="1">
        <f t="array" ref="S6">INDEX($I$3:$L$10,MATCH(1,($B$3:$B$10=$N6)*($H$3:$H$10=$O6),0),MATCH(S$2,$I$2:$L$2,0))</f>
        <v>2.3962600000000001E-2</v>
      </c>
    </row>
    <row r="7" spans="2:27" ht="21" x14ac:dyDescent="0.25">
      <c r="B7" s="3">
        <v>1</v>
      </c>
      <c r="C7" s="3">
        <v>0</v>
      </c>
      <c r="D7" s="3">
        <v>-1</v>
      </c>
      <c r="E7" s="3">
        <v>-1</v>
      </c>
      <c r="F7" s="3">
        <v>0</v>
      </c>
      <c r="G7" s="3">
        <v>3</v>
      </c>
      <c r="H7" s="3" t="s">
        <v>25</v>
      </c>
      <c r="I7" s="3">
        <v>0</v>
      </c>
      <c r="J7" s="3">
        <v>0</v>
      </c>
      <c r="K7" s="3">
        <v>0</v>
      </c>
      <c r="L7" s="3">
        <v>0</v>
      </c>
      <c r="N7" s="5">
        <v>3</v>
      </c>
      <c r="O7" s="3" t="s">
        <v>24</v>
      </c>
      <c r="P7" cm="1">
        <f t="array" ref="P7">INDEX($I$3:$L$10,MATCH(1,($B$3:$B$10=$N7)*($H$3:$H$10=$O7),0),MATCH(P$2,$I$2:$L$2,0))</f>
        <v>1.48515E-2</v>
      </c>
      <c r="Q7" cm="1">
        <f t="array" ref="Q7">INDEX($I$3:$L$10,MATCH(1,($B$3:$B$10=$N7)*($H$3:$H$10=$O7),0),MATCH(Q$2,$I$2:$L$2,0))</f>
        <v>-1.21402E-2</v>
      </c>
      <c r="R7" cm="1">
        <f t="array" ref="R7">INDEX($I$3:$L$10,MATCH(1,($B$3:$B$10=$N7)*($H$3:$H$10=$O7),0),MATCH(R$2,$I$2:$L$2,0))</f>
        <v>-7.5784099999999998E-3</v>
      </c>
      <c r="S7" cm="1">
        <f t="array" ref="S7">INDEX($I$3:$L$10,MATCH(1,($B$3:$B$10=$N7)*($H$3:$H$10=$O7),0),MATCH(S$2,$I$2:$L$2,0))</f>
        <v>-1.0289700000000001E-2</v>
      </c>
    </row>
    <row r="8" spans="2:27" ht="21" x14ac:dyDescent="0.25">
      <c r="B8" s="3">
        <v>2</v>
      </c>
      <c r="C8" s="3">
        <v>0</v>
      </c>
      <c r="D8" s="3">
        <v>1</v>
      </c>
      <c r="E8" s="3">
        <v>-1</v>
      </c>
      <c r="F8" s="3">
        <v>0</v>
      </c>
      <c r="G8" s="3">
        <v>3</v>
      </c>
      <c r="H8" s="3" t="s">
        <v>25</v>
      </c>
      <c r="I8" s="3">
        <v>-1.0289700000000001E-2</v>
      </c>
      <c r="J8" s="3">
        <v>1.8355099999999999E-2</v>
      </c>
      <c r="K8" s="3">
        <v>1.21402E-2</v>
      </c>
      <c r="L8" s="3">
        <v>2.3962600000000001E-2</v>
      </c>
      <c r="N8" s="5">
        <v>3</v>
      </c>
      <c r="O8" s="3" t="s">
        <v>25</v>
      </c>
      <c r="P8" cm="1">
        <f t="array" ref="P8">INDEX($I$3:$L$10,MATCH(1,($B$3:$B$10=$N8)*($H$3:$H$10=$O8),0),MATCH(P$2,$I$2:$L$2,0))</f>
        <v>-1.21402E-2</v>
      </c>
      <c r="Q8" cm="1">
        <f t="array" ref="Q8">INDEX($I$3:$L$10,MATCH(1,($B$3:$B$10=$N8)*($H$3:$H$10=$O8),0),MATCH(Q$2,$I$2:$L$2,0))</f>
        <v>2.3962600000000001E-2</v>
      </c>
      <c r="R8" cm="1">
        <f t="array" ref="R8">INDEX($I$3:$L$10,MATCH(1,($B$3:$B$10=$N8)*($H$3:$H$10=$O8),0),MATCH(R$2,$I$2:$L$2,0))</f>
        <v>1.0289700000000001E-2</v>
      </c>
      <c r="S8" cm="1">
        <f t="array" ref="S8">INDEX($I$3:$L$10,MATCH(1,($B$3:$B$10=$N8)*($H$3:$H$10=$O8),0),MATCH(S$2,$I$2:$L$2,0))</f>
        <v>1.8355099999999999E-2</v>
      </c>
    </row>
    <row r="9" spans="2:27" ht="21" x14ac:dyDescent="0.25">
      <c r="B9" s="3">
        <v>3</v>
      </c>
      <c r="C9" s="3">
        <v>0</v>
      </c>
      <c r="D9" s="3">
        <v>1</v>
      </c>
      <c r="E9" s="3">
        <v>1</v>
      </c>
      <c r="F9" s="3">
        <v>0</v>
      </c>
      <c r="G9" s="3">
        <v>3</v>
      </c>
      <c r="H9" s="3" t="s">
        <v>25</v>
      </c>
      <c r="I9" s="3">
        <v>-1.21402E-2</v>
      </c>
      <c r="J9" s="3">
        <v>2.3962600000000001E-2</v>
      </c>
      <c r="K9" s="3">
        <v>1.0289700000000001E-2</v>
      </c>
      <c r="L9" s="3">
        <v>1.8355099999999999E-2</v>
      </c>
      <c r="N9" s="5">
        <v>4</v>
      </c>
      <c r="O9" s="3" t="s">
        <v>24</v>
      </c>
      <c r="P9" cm="1">
        <f t="array" ref="P9">INDEX($I$3:$L$10,MATCH(1,($B$3:$B$10=$N9)*($H$3:$H$10=$O9),0),MATCH(P$2,$I$2:$L$2,0))</f>
        <v>0</v>
      </c>
      <c r="Q9" cm="1">
        <f t="array" ref="Q9">INDEX($I$3:$L$10,MATCH(1,($B$3:$B$10=$N9)*($H$3:$H$10=$O9),0),MATCH(Q$2,$I$2:$L$2,0))</f>
        <v>0</v>
      </c>
      <c r="R9" cm="1">
        <f t="array" ref="R9">INDEX($I$3:$L$10,MATCH(1,($B$3:$B$10=$N9)*($H$3:$H$10=$O9),0),MATCH(R$2,$I$2:$L$2,0))</f>
        <v>0</v>
      </c>
      <c r="S9" cm="1">
        <f t="array" ref="S9">INDEX($I$3:$L$10,MATCH(1,($B$3:$B$10=$N9)*($H$3:$H$10=$O9),0),MATCH(S$2,$I$2:$L$2,0))</f>
        <v>0</v>
      </c>
    </row>
    <row r="10" spans="2:27" ht="21" x14ac:dyDescent="0.25">
      <c r="B10" s="3">
        <v>4</v>
      </c>
      <c r="C10" s="3">
        <v>0</v>
      </c>
      <c r="D10" s="3">
        <v>-1</v>
      </c>
      <c r="E10" s="3">
        <v>1</v>
      </c>
      <c r="F10" s="3">
        <v>0</v>
      </c>
      <c r="G10" s="3">
        <v>3</v>
      </c>
      <c r="H10" s="3" t="s">
        <v>25</v>
      </c>
      <c r="I10" s="3">
        <v>0</v>
      </c>
      <c r="J10" s="3">
        <v>0</v>
      </c>
      <c r="K10" s="3">
        <v>0</v>
      </c>
      <c r="L10" s="3">
        <v>0</v>
      </c>
      <c r="N10" s="5">
        <v>4</v>
      </c>
      <c r="O10" s="3" t="s">
        <v>25</v>
      </c>
      <c r="P10" cm="1">
        <f t="array" ref="P10">INDEX($I$3:$L$10,MATCH(1,($B$3:$B$10=$N10)*($H$3:$H$10=$O10),0),MATCH(P$2,$I$2:$L$2,0))</f>
        <v>0</v>
      </c>
      <c r="Q10" cm="1">
        <f t="array" ref="Q10">INDEX($I$3:$L$10,MATCH(1,($B$3:$B$10=$N10)*($H$3:$H$10=$O10),0),MATCH(Q$2,$I$2:$L$2,0))</f>
        <v>0</v>
      </c>
      <c r="R10" cm="1">
        <f t="array" ref="R10">INDEX($I$3:$L$10,MATCH(1,($B$3:$B$10=$N10)*($H$3:$H$10=$O10),0),MATCH(R$2,$I$2:$L$2,0))</f>
        <v>0</v>
      </c>
      <c r="S10" cm="1">
        <f t="array" ref="S10">INDEX($I$3:$L$10,MATCH(1,($B$3:$B$10=$N10)*($H$3:$H$10=$O10),0),MATCH(S$2,$I$2:$L$2,0))</f>
        <v>0</v>
      </c>
    </row>
    <row r="13" spans="2:27" x14ac:dyDescent="0.25">
      <c r="B13" t="s">
        <v>28</v>
      </c>
      <c r="C13" t="s">
        <v>29</v>
      </c>
      <c r="D13" s="1" t="s">
        <v>30</v>
      </c>
      <c r="E13" s="1"/>
      <c r="F13" s="1"/>
      <c r="G13" s="1"/>
      <c r="H13" s="5" t="s">
        <v>31</v>
      </c>
      <c r="M13" s="1" t="s">
        <v>32</v>
      </c>
      <c r="N13" s="1"/>
      <c r="O13" s="1"/>
      <c r="P13" s="1"/>
    </row>
    <row r="14" spans="2:27" x14ac:dyDescent="0.25">
      <c r="B14" s="4">
        <v>1</v>
      </c>
      <c r="C14" t="s">
        <v>26</v>
      </c>
      <c r="D14">
        <f>P3</f>
        <v>0</v>
      </c>
      <c r="E14">
        <f t="shared" ref="E14:G14" si="0">Q3</f>
        <v>0</v>
      </c>
      <c r="F14">
        <f t="shared" si="0"/>
        <v>0</v>
      </c>
      <c r="G14">
        <f t="shared" si="0"/>
        <v>0</v>
      </c>
      <c r="H14">
        <v>0</v>
      </c>
      <c r="I14">
        <v>0</v>
      </c>
      <c r="J14">
        <v>0</v>
      </c>
      <c r="K14">
        <v>0</v>
      </c>
    </row>
    <row r="15" spans="2:27" x14ac:dyDescent="0.25">
      <c r="B15" s="4">
        <v>1</v>
      </c>
      <c r="C15" t="s">
        <v>27</v>
      </c>
      <c r="D15">
        <f t="shared" ref="D15:D21" si="1">P4</f>
        <v>0</v>
      </c>
      <c r="E15">
        <f t="shared" ref="E15:E21" si="2">Q4</f>
        <v>0</v>
      </c>
      <c r="F15">
        <f t="shared" ref="F15:F21" si="3">R4</f>
        <v>0</v>
      </c>
      <c r="G15">
        <f t="shared" ref="G15:G21" si="4">S4</f>
        <v>0</v>
      </c>
      <c r="H15">
        <v>0</v>
      </c>
      <c r="I15">
        <v>0</v>
      </c>
      <c r="J15">
        <v>0</v>
      </c>
      <c r="K15">
        <v>0</v>
      </c>
    </row>
    <row r="16" spans="2:27" x14ac:dyDescent="0.25">
      <c r="B16" s="4">
        <v>2</v>
      </c>
      <c r="C16" t="s">
        <v>26</v>
      </c>
      <c r="D16">
        <f t="shared" si="1"/>
        <v>-7.5784099999999998E-3</v>
      </c>
      <c r="E16">
        <f t="shared" si="2"/>
        <v>1.0289700000000001E-2</v>
      </c>
      <c r="F16">
        <f t="shared" si="3"/>
        <v>1.48515E-2</v>
      </c>
      <c r="G16">
        <f t="shared" si="4"/>
        <v>1.21402E-2</v>
      </c>
      <c r="H16">
        <v>0</v>
      </c>
      <c r="I16">
        <v>0</v>
      </c>
      <c r="J16">
        <v>10000</v>
      </c>
      <c r="K16">
        <v>0</v>
      </c>
      <c r="M16" cm="1">
        <f t="array" ref="M16:P19">MMULT(H16:K19,MINVERSE(D16:G19))</f>
        <v>1224805.1147503499</v>
      </c>
      <c r="N16">
        <v>-499071.39858747419</v>
      </c>
      <c r="O16">
        <v>276151.72649908013</v>
      </c>
      <c r="P16">
        <v>-3748.9492371275951</v>
      </c>
      <c r="W16">
        <v>10000</v>
      </c>
      <c r="Y16" cm="1">
        <f t="array" ref="Y16:Y19">MMULT(MINVERSE(M16:P19),W16:W19)</f>
        <v>1.48515E-2</v>
      </c>
      <c r="AA16">
        <f>SQRT(SUMSQ(Y16:Y17))</f>
        <v>1.9182062149049568E-2</v>
      </c>
    </row>
    <row r="17" spans="2:27" x14ac:dyDescent="0.25">
      <c r="B17" s="5">
        <v>2</v>
      </c>
      <c r="C17" t="s">
        <v>27</v>
      </c>
      <c r="D17">
        <f t="shared" si="1"/>
        <v>-1.0289700000000001E-2</v>
      </c>
      <c r="E17">
        <f t="shared" si="2"/>
        <v>1.8355099999999999E-2</v>
      </c>
      <c r="F17">
        <f t="shared" si="3"/>
        <v>1.21402E-2</v>
      </c>
      <c r="G17">
        <f t="shared" si="4"/>
        <v>2.3962600000000001E-2</v>
      </c>
      <c r="H17">
        <v>0</v>
      </c>
      <c r="I17">
        <v>0</v>
      </c>
      <c r="J17">
        <v>0</v>
      </c>
      <c r="K17">
        <v>10000</v>
      </c>
      <c r="M17">
        <v>-499071.39858747425</v>
      </c>
      <c r="N17">
        <v>1224802.5456982383</v>
      </c>
      <c r="O17">
        <v>3748.9492371276724</v>
      </c>
      <c r="P17">
        <v>-721981.97369949939</v>
      </c>
      <c r="W17">
        <v>0</v>
      </c>
      <c r="Y17">
        <v>1.2140200000000006E-2</v>
      </c>
    </row>
    <row r="18" spans="2:27" x14ac:dyDescent="0.25">
      <c r="B18" s="5">
        <v>3</v>
      </c>
      <c r="C18" t="s">
        <v>26</v>
      </c>
      <c r="D18">
        <f t="shared" si="1"/>
        <v>1.48515E-2</v>
      </c>
      <c r="E18">
        <f t="shared" si="2"/>
        <v>-1.21402E-2</v>
      </c>
      <c r="F18">
        <f t="shared" si="3"/>
        <v>-7.5784099999999998E-3</v>
      </c>
      <c r="G18">
        <f t="shared" si="4"/>
        <v>-1.0289700000000001E-2</v>
      </c>
      <c r="H18">
        <v>10000</v>
      </c>
      <c r="I18">
        <v>0</v>
      </c>
      <c r="J18">
        <v>0</v>
      </c>
      <c r="K18">
        <v>0</v>
      </c>
      <c r="M18">
        <v>276151.72649908008</v>
      </c>
      <c r="N18">
        <v>3748.9492371276197</v>
      </c>
      <c r="O18">
        <v>1224805.1147503499</v>
      </c>
      <c r="P18">
        <v>499071.39858747425</v>
      </c>
      <c r="W18">
        <v>0</v>
      </c>
      <c r="Y18">
        <v>-7.5784100000000016E-3</v>
      </c>
      <c r="AA18">
        <f>SQRT(SUMSQ(Y18:Y19))</f>
        <v>1.2779288877637135E-2</v>
      </c>
    </row>
    <row r="19" spans="2:27" x14ac:dyDescent="0.25">
      <c r="B19" s="5">
        <v>3</v>
      </c>
      <c r="C19" t="s">
        <v>27</v>
      </c>
      <c r="D19">
        <f t="shared" si="1"/>
        <v>-1.21402E-2</v>
      </c>
      <c r="E19">
        <f t="shared" si="2"/>
        <v>2.3962600000000001E-2</v>
      </c>
      <c r="F19">
        <f t="shared" si="3"/>
        <v>1.0289700000000001E-2</v>
      </c>
      <c r="G19">
        <f t="shared" si="4"/>
        <v>1.8355099999999999E-2</v>
      </c>
      <c r="H19">
        <v>0</v>
      </c>
      <c r="I19">
        <v>10000</v>
      </c>
      <c r="J19">
        <v>0</v>
      </c>
      <c r="K19">
        <v>0</v>
      </c>
      <c r="M19">
        <v>-3748.9492371276788</v>
      </c>
      <c r="N19">
        <v>-721981.97369949939</v>
      </c>
      <c r="O19">
        <v>499071.39858747419</v>
      </c>
      <c r="P19">
        <v>1224802.5456982383</v>
      </c>
      <c r="W19">
        <v>0</v>
      </c>
      <c r="Y19">
        <v>1.0289700000000008E-2</v>
      </c>
    </row>
    <row r="20" spans="2:27" x14ac:dyDescent="0.25">
      <c r="B20" s="5">
        <v>4</v>
      </c>
      <c r="C20" t="s">
        <v>26</v>
      </c>
      <c r="D20">
        <f t="shared" si="1"/>
        <v>0</v>
      </c>
      <c r="E20">
        <f t="shared" si="2"/>
        <v>0</v>
      </c>
      <c r="F20">
        <f t="shared" si="3"/>
        <v>0</v>
      </c>
      <c r="G20">
        <f t="shared" si="4"/>
        <v>0</v>
      </c>
      <c r="H20">
        <v>0</v>
      </c>
      <c r="I20">
        <v>0</v>
      </c>
      <c r="J20">
        <v>0</v>
      </c>
      <c r="K20">
        <v>0</v>
      </c>
    </row>
    <row r="21" spans="2:27" x14ac:dyDescent="0.25">
      <c r="B21" s="5">
        <v>4</v>
      </c>
      <c r="C21" t="s">
        <v>27</v>
      </c>
      <c r="D21">
        <f t="shared" si="1"/>
        <v>0</v>
      </c>
      <c r="E21">
        <f t="shared" si="2"/>
        <v>0</v>
      </c>
      <c r="F21">
        <f t="shared" si="3"/>
        <v>0</v>
      </c>
      <c r="G21">
        <f t="shared" si="4"/>
        <v>0</v>
      </c>
      <c r="H21">
        <v>0</v>
      </c>
      <c r="I21">
        <v>0</v>
      </c>
      <c r="J21">
        <v>0</v>
      </c>
      <c r="K21">
        <v>0</v>
      </c>
      <c r="M21" s="1" t="s">
        <v>33</v>
      </c>
      <c r="N21" s="1"/>
      <c r="O21" s="1"/>
      <c r="P21" s="1"/>
    </row>
    <row r="22" spans="2:27" x14ac:dyDescent="0.25">
      <c r="M22">
        <v>1335848.95073504</v>
      </c>
      <c r="N22">
        <v>-499067.16417910397</v>
      </c>
      <c r="O22">
        <v>165104.92649534199</v>
      </c>
      <c r="P22">
        <v>-3752.3846930759601</v>
      </c>
      <c r="R22" s="6">
        <f>(M16-M22)/M16</f>
        <v>-9.0662452864857607E-2</v>
      </c>
      <c r="S22" s="6">
        <f t="shared" ref="S22:U22" si="5">(N16-N22)/N16</f>
        <v>8.4845743158270567E-6</v>
      </c>
      <c r="T22" s="6">
        <f t="shared" si="5"/>
        <v>0.40212241803278403</v>
      </c>
      <c r="U22" s="6">
        <f t="shared" si="5"/>
        <v>-9.1637835859233207E-4</v>
      </c>
      <c r="W22">
        <v>10000</v>
      </c>
      <c r="Y22" cm="1">
        <f t="array" ref="Y22:Y25">MMULT(MINVERSE(M22:P25),W22:W25)</f>
        <v>1.1088604843364528E-2</v>
      </c>
      <c r="Z22" s="6">
        <f>(Y16-Y22)/Y16</f>
        <v>0.25336802051210128</v>
      </c>
      <c r="AA22">
        <f>SQRT(SUMSQ(Y22:Y23))</f>
        <v>1.3856072136489017E-2</v>
      </c>
    </row>
    <row r="23" spans="2:27" x14ac:dyDescent="0.25">
      <c r="M23">
        <v>-499067.16417910397</v>
      </c>
      <c r="N23">
        <v>1335848.95073504</v>
      </c>
      <c r="O23">
        <v>3752.38469307593</v>
      </c>
      <c r="P23">
        <v>-833029.40186286601</v>
      </c>
      <c r="R23" s="6">
        <f t="shared" ref="R23:R25" si="6">(M17-M23)/M17</f>
        <v>8.484574315943688E-6</v>
      </c>
      <c r="S23" s="6">
        <f t="shared" ref="S23:S25" si="7">(N17-N23)/N17</f>
        <v>-9.066474055497338E-2</v>
      </c>
      <c r="T23" s="6">
        <f t="shared" ref="T23:T25" si="8">(O17-O23)/O17</f>
        <v>-9.1637835856368637E-4</v>
      </c>
      <c r="U23" s="6">
        <f t="shared" ref="U23:U25" si="9">(P17-P23)/P17</f>
        <v>-0.15380914234513335</v>
      </c>
      <c r="W23">
        <v>0</v>
      </c>
      <c r="Y23">
        <v>8.3086447558732516E-3</v>
      </c>
      <c r="Z23" s="6">
        <f t="shared" ref="Z23:Z25" si="10">(Y17-Y23)/Y17</f>
        <v>0.31560890628875571</v>
      </c>
    </row>
    <row r="24" spans="2:27" x14ac:dyDescent="0.25">
      <c r="M24">
        <v>165104.92649534199</v>
      </c>
      <c r="N24">
        <v>3752.38469307594</v>
      </c>
      <c r="O24">
        <v>1335848.95073504</v>
      </c>
      <c r="P24">
        <v>499067.16417910397</v>
      </c>
      <c r="R24" s="6">
        <f t="shared" si="6"/>
        <v>0.40212241803278387</v>
      </c>
      <c r="S24" s="6">
        <f t="shared" si="7"/>
        <v>-9.1637835858043859E-4</v>
      </c>
      <c r="T24" s="6">
        <f t="shared" si="8"/>
        <v>-9.0662452864857607E-2</v>
      </c>
      <c r="U24" s="6">
        <f t="shared" si="9"/>
        <v>8.484574315943688E-6</v>
      </c>
      <c r="W24">
        <v>0</v>
      </c>
      <c r="Y24">
        <v>-3.8831477556066332E-3</v>
      </c>
      <c r="Z24" s="6">
        <f t="shared" si="10"/>
        <v>0.48760389638372265</v>
      </c>
      <c r="AA24">
        <f>SQRT(SUMSQ(Y24:Y25))</f>
        <v>7.7120582609721058E-3</v>
      </c>
    </row>
    <row r="25" spans="2:27" x14ac:dyDescent="0.25">
      <c r="M25">
        <v>-3752.3846930759601</v>
      </c>
      <c r="N25">
        <v>-833029.40186286601</v>
      </c>
      <c r="O25">
        <v>499067.16417910397</v>
      </c>
      <c r="P25">
        <v>1335848.95073504</v>
      </c>
      <c r="R25" s="6">
        <f t="shared" si="6"/>
        <v>-9.1637835856999241E-4</v>
      </c>
      <c r="S25" s="6">
        <f t="shared" si="7"/>
        <v>-0.15380914234513335</v>
      </c>
      <c r="T25" s="6">
        <f t="shared" si="8"/>
        <v>8.4845743158270567E-6</v>
      </c>
      <c r="U25" s="6">
        <f t="shared" si="9"/>
        <v>-9.066474055497338E-2</v>
      </c>
      <c r="W25">
        <v>0</v>
      </c>
      <c r="Y25">
        <v>6.6631078430980893E-3</v>
      </c>
      <c r="Z25" s="6">
        <f t="shared" si="10"/>
        <v>0.3524487746874948</v>
      </c>
    </row>
  </sheetData>
  <mergeCells count="3">
    <mergeCell ref="D13:G13"/>
    <mergeCell ref="M13:P13"/>
    <mergeCell ref="M21:P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Mirkovich</dc:creator>
  <cp:lastModifiedBy>Chad Mirkovich</cp:lastModifiedBy>
  <dcterms:created xsi:type="dcterms:W3CDTF">2025-11-14T19:44:01Z</dcterms:created>
  <dcterms:modified xsi:type="dcterms:W3CDTF">2025-11-15T01:53:53Z</dcterms:modified>
</cp:coreProperties>
</file>