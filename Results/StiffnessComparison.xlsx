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Grad_School\MastersFinalProject\CodeBase\CEM_Solver_V2\Results\"/>
    </mc:Choice>
  </mc:AlternateContent>
  <xr:revisionPtr revIDLastSave="0" documentId="8_{0DBF114D-66CA-4EC2-A9BA-1C58E9ABC627}" xr6:coauthVersionLast="47" xr6:coauthVersionMax="47" xr10:uidLastSave="{00000000-0000-0000-0000-000000000000}"/>
  <bookViews>
    <workbookView xWindow="-120" yWindow="-120" windowWidth="29040" windowHeight="15720" xr2:uid="{930BF158-FC04-4465-9B2D-F5BC4A5A6B72}"/>
  </bookViews>
  <sheets>
    <sheet name="NonSqDiffDi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9" i="2" l="1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</calcChain>
</file>

<file path=xl/sharedStrings.xml><?xml version="1.0" encoding="utf-8"?>
<sst xmlns="http://schemas.openxmlformats.org/spreadsheetml/2006/main" count="2" uniqueCount="2">
  <si>
    <r>
      <t>File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"C:\Documents</t>
    </r>
    <r>
      <rPr>
        <sz val="11"/>
        <color rgb="FFD7BA7D"/>
        <rFont val="Consolas"/>
        <family val="3"/>
      </rPr>
      <t>\G</t>
    </r>
    <r>
      <rPr>
        <sz val="11"/>
        <color rgb="FFD16969"/>
        <rFont val="Consolas"/>
        <family val="3"/>
      </rPr>
      <t>rad_School</t>
    </r>
    <r>
      <rPr>
        <sz val="11"/>
        <color rgb="FFD7BA7D"/>
        <rFont val="Consolas"/>
        <family val="3"/>
      </rPr>
      <t>\M</t>
    </r>
    <r>
      <rPr>
        <sz val="11"/>
        <color rgb="FFD16969"/>
        <rFont val="Consolas"/>
        <family val="3"/>
      </rPr>
      <t>astersFinalProject</t>
    </r>
    <r>
      <rPr>
        <sz val="11"/>
        <color rgb="FFD7BA7D"/>
        <rFont val="Consolas"/>
        <family val="3"/>
      </rPr>
      <t>\C</t>
    </r>
    <r>
      <rPr>
        <sz val="11"/>
        <color rgb="FFD16969"/>
        <rFont val="Consolas"/>
        <family val="3"/>
      </rPr>
      <t>odeBase</t>
    </r>
    <r>
      <rPr>
        <sz val="11"/>
        <color rgb="FFD7BA7D"/>
        <rFont val="Consolas"/>
        <family val="3"/>
      </rPr>
      <t>\N</t>
    </r>
    <r>
      <rPr>
        <sz val="11"/>
        <color rgb="FFD16969"/>
        <rFont val="Consolas"/>
        <family val="3"/>
      </rPr>
      <t>astran</t>
    </r>
    <r>
      <rPr>
        <sz val="11"/>
        <color rgb="FFD7BA7D"/>
        <rFont val="Consolas"/>
        <family val="3"/>
      </rPr>
      <t>\M</t>
    </r>
    <r>
      <rPr>
        <sz val="11"/>
        <color rgb="FFD16969"/>
        <rFont val="Consolas"/>
        <family val="3"/>
      </rPr>
      <t>ixed_Directions</t>
    </r>
    <r>
      <rPr>
        <sz val="11"/>
        <color rgb="FFD7BA7D"/>
        <rFont val="Consolas"/>
        <family val="3"/>
      </rPr>
      <t>\M</t>
    </r>
    <r>
      <rPr>
        <sz val="11"/>
        <color rgb="FFD16969"/>
        <rFont val="Consolas"/>
        <family val="3"/>
      </rPr>
      <t>ixedOrthogonalDir</t>
    </r>
    <r>
      <rPr>
        <sz val="11"/>
        <color rgb="FFD7BA7D"/>
        <rFont val="Consolas"/>
        <family val="3"/>
      </rPr>
      <t>\N</t>
    </r>
    <r>
      <rPr>
        <sz val="11"/>
        <color rgb="FFD16969"/>
        <rFont val="Consolas"/>
        <family val="3"/>
      </rPr>
      <t>onSquarePlate_Same_Dir-0000.dat"</t>
    </r>
  </si>
  <si>
    <t>File = r"C:\Documents\Grad_School\MastersFinalProject\CodeBase\Nastran\Mixed_Directions\MixedOrthogonalDir\NonSquarePlate_Diff_Dir.dat"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</si>
</sst>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9CDCFE"/>
      <name val="Consolas"/>
      <family val="3"/>
    </font>
    <font>
      <sz val="11"/>
      <color rgb="FFCCCCCC"/>
      <name val="Consolas"/>
      <family val="3"/>
    </font>
    <font>
      <sz val="11"/>
      <color rgb="FFD4D4D4"/>
      <name val="Consolas"/>
      <family val="3"/>
    </font>
    <font>
      <sz val="11"/>
      <color rgb="FF569CD6"/>
      <name val="Consolas"/>
      <family val="3"/>
    </font>
    <font>
      <sz val="11"/>
      <color rgb="FFD16969"/>
      <name val="Consolas"/>
      <family val="3"/>
    </font>
    <font>
      <sz val="11"/>
      <color rgb="FFD7BA7D"/>
      <name val="Consolas"/>
      <family val="3"/>
    </font>
    <font>
      <sz val="11"/>
      <color rgb="FF6A995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4A47-0AAA-4980-B1BA-CB2322AB97FD}">
  <dimension ref="B1:AK39"/>
  <sheetViews>
    <sheetView tabSelected="1" workbookViewId="0">
      <selection activeCell="P10" sqref="P10"/>
    </sheetView>
  </sheetViews>
  <sheetFormatPr defaultRowHeight="15" x14ac:dyDescent="0.25"/>
  <sheetData>
    <row r="1" spans="2:20" x14ac:dyDescent="0.25">
      <c r="B1" s="1" t="s">
        <v>0</v>
      </c>
    </row>
    <row r="2" spans="2:20" x14ac:dyDescent="0.25">
      <c r="B2">
        <v>0</v>
      </c>
      <c r="C2">
        <v>1390231.07372104</v>
      </c>
      <c r="D2">
        <v>353505.90796019899</v>
      </c>
      <c r="E2">
        <v>-1062143.64164732</v>
      </c>
      <c r="F2">
        <v>141808.87152582899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332842.64909003198</v>
      </c>
      <c r="R2">
        <v>-58631.010829311999</v>
      </c>
      <c r="S2">
        <v>-660930.081163747</v>
      </c>
      <c r="T2">
        <v>-436683.76865671598</v>
      </c>
    </row>
    <row r="3" spans="2:20" x14ac:dyDescent="0.25">
      <c r="B3">
        <v>1</v>
      </c>
      <c r="C3">
        <v>353505.90796019899</v>
      </c>
      <c r="D3">
        <v>1000978.6729476399</v>
      </c>
      <c r="E3">
        <v>149313.640911981</v>
      </c>
      <c r="F3">
        <v>-21613.2040708856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-66135.780215463994</v>
      </c>
      <c r="R3">
        <v>-580922.26881121797</v>
      </c>
      <c r="S3">
        <v>-436683.76865671598</v>
      </c>
      <c r="T3">
        <v>-398443.20006554102</v>
      </c>
    </row>
    <row r="4" spans="2:20" x14ac:dyDescent="0.25">
      <c r="B4">
        <v>2</v>
      </c>
      <c r="C4">
        <v>-1062143.64164732</v>
      </c>
      <c r="D4">
        <v>149313.640911981</v>
      </c>
      <c r="E4">
        <v>2869884.1432555402</v>
      </c>
      <c r="F4">
        <v>-291122.512437811</v>
      </c>
      <c r="G4">
        <v>-922398.76951975399</v>
      </c>
      <c r="H4">
        <v>141808.87152582899</v>
      </c>
      <c r="I4">
        <v>-606246.27685298503</v>
      </c>
      <c r="J4">
        <v>-436683.76865671598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-819861.95335809595</v>
      </c>
      <c r="R4">
        <v>561450.55970149196</v>
      </c>
      <c r="S4">
        <v>540766.49812262505</v>
      </c>
      <c r="T4">
        <v>-124766.791044775</v>
      </c>
    </row>
    <row r="5" spans="2:20" x14ac:dyDescent="0.25">
      <c r="B5">
        <v>3</v>
      </c>
      <c r="C5">
        <v>141808.87152582899</v>
      </c>
      <c r="D5">
        <v>-21613.2040708856</v>
      </c>
      <c r="E5">
        <v>-291122.512437811</v>
      </c>
      <c r="F5">
        <v>2600358.6588603701</v>
      </c>
      <c r="G5">
        <v>149313.640911981</v>
      </c>
      <c r="H5">
        <v>64065.685773065401</v>
      </c>
      <c r="I5">
        <v>-436683.76865671598</v>
      </c>
      <c r="J5">
        <v>-400942.95440632699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561450.55970149196</v>
      </c>
      <c r="R5">
        <v>-872866.69915314997</v>
      </c>
      <c r="S5">
        <v>-124766.791044775</v>
      </c>
      <c r="T5">
        <v>-1369001.4870030701</v>
      </c>
    </row>
    <row r="6" spans="2:20" x14ac:dyDescent="0.25">
      <c r="B6">
        <v>4</v>
      </c>
      <c r="C6">
        <v>0</v>
      </c>
      <c r="D6">
        <v>0</v>
      </c>
      <c r="E6">
        <v>-922398.76951975399</v>
      </c>
      <c r="F6">
        <v>149313.640911981</v>
      </c>
      <c r="G6">
        <v>1504183.05124022</v>
      </c>
      <c r="H6">
        <v>-644628.42039801006</v>
      </c>
      <c r="I6">
        <v>202132.644041163</v>
      </c>
      <c r="J6">
        <v>-66135.780215463994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-783916.92576162994</v>
      </c>
      <c r="T6">
        <v>561450.55970149196</v>
      </c>
    </row>
    <row r="7" spans="2:20" x14ac:dyDescent="0.25">
      <c r="B7">
        <v>5</v>
      </c>
      <c r="C7">
        <v>0</v>
      </c>
      <c r="D7">
        <v>0</v>
      </c>
      <c r="E7">
        <v>141808.87152582899</v>
      </c>
      <c r="F7">
        <v>64065.685773065503</v>
      </c>
      <c r="G7">
        <v>-644628.42039801006</v>
      </c>
      <c r="H7">
        <v>1672603.8118999701</v>
      </c>
      <c r="I7">
        <v>-58631.010829311999</v>
      </c>
      <c r="J7">
        <v>-805366.39727075305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561450.55970149196</v>
      </c>
      <c r="T7">
        <v>-931303.10040228395</v>
      </c>
    </row>
    <row r="8" spans="2:20" x14ac:dyDescent="0.25">
      <c r="B8">
        <v>6</v>
      </c>
      <c r="C8">
        <v>0</v>
      </c>
      <c r="D8">
        <v>0</v>
      </c>
      <c r="E8">
        <v>-606246.27685298503</v>
      </c>
      <c r="F8">
        <v>-436683.76865671598</v>
      </c>
      <c r="G8">
        <v>202132.644041163</v>
      </c>
      <c r="H8">
        <v>-58631.010829312101</v>
      </c>
      <c r="I8">
        <v>2747085.7364383098</v>
      </c>
      <c r="J8">
        <v>-166355.72139303401</v>
      </c>
      <c r="K8">
        <v>197197.348238145</v>
      </c>
      <c r="L8">
        <v>-24546.849867205201</v>
      </c>
      <c r="M8">
        <v>-719758.08032239799</v>
      </c>
      <c r="N8">
        <v>519861.62935323297</v>
      </c>
      <c r="O8">
        <v>0</v>
      </c>
      <c r="P8">
        <v>0</v>
      </c>
      <c r="Q8">
        <v>0</v>
      </c>
      <c r="R8">
        <v>0</v>
      </c>
      <c r="S8">
        <v>-1820411.37154224</v>
      </c>
      <c r="T8">
        <v>166355.72139303401</v>
      </c>
    </row>
    <row r="9" spans="2:20" x14ac:dyDescent="0.25">
      <c r="B9">
        <v>7</v>
      </c>
      <c r="C9">
        <v>0</v>
      </c>
      <c r="D9">
        <v>0</v>
      </c>
      <c r="E9">
        <v>-436683.76865671598</v>
      </c>
      <c r="F9">
        <v>-400942.95440632699</v>
      </c>
      <c r="G9">
        <v>-66135.780215463994</v>
      </c>
      <c r="H9">
        <v>-805366.39727075305</v>
      </c>
      <c r="I9">
        <v>-166355.72139303401</v>
      </c>
      <c r="J9">
        <v>2565266.23262941</v>
      </c>
      <c r="K9">
        <v>-17042.080481053301</v>
      </c>
      <c r="L9">
        <v>-820098.62354841805</v>
      </c>
      <c r="M9">
        <v>519861.62935323297</v>
      </c>
      <c r="N9">
        <v>-739784.15879263298</v>
      </c>
      <c r="O9">
        <v>0</v>
      </c>
      <c r="P9">
        <v>0</v>
      </c>
      <c r="Q9">
        <v>0</v>
      </c>
      <c r="R9">
        <v>0</v>
      </c>
      <c r="S9">
        <v>166355.72139303401</v>
      </c>
      <c r="T9">
        <v>200925.90138871301</v>
      </c>
    </row>
    <row r="10" spans="2:20" x14ac:dyDescent="0.25"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197197.348238145</v>
      </c>
      <c r="J10">
        <v>-17042.080481053301</v>
      </c>
      <c r="K10">
        <v>1368607.57241614</v>
      </c>
      <c r="L10">
        <v>478272.69900497497</v>
      </c>
      <c r="M10">
        <v>-905270.38996810396</v>
      </c>
      <c r="N10">
        <v>17042.080481053199</v>
      </c>
      <c r="O10">
        <v>0</v>
      </c>
      <c r="P10">
        <v>0</v>
      </c>
      <c r="Q10">
        <v>0</v>
      </c>
      <c r="R10">
        <v>0</v>
      </c>
      <c r="S10">
        <v>-660534.53068618197</v>
      </c>
      <c r="T10">
        <v>-478272.69900497497</v>
      </c>
    </row>
    <row r="11" spans="2:20" x14ac:dyDescent="0.25"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-24546.849867205201</v>
      </c>
      <c r="J11">
        <v>-820098.62354841805</v>
      </c>
      <c r="K11">
        <v>478272.69900497497</v>
      </c>
      <c r="L11">
        <v>1267900.89003704</v>
      </c>
      <c r="M11">
        <v>24546.849867205201</v>
      </c>
      <c r="N11">
        <v>115195.176972022</v>
      </c>
      <c r="O11">
        <v>0</v>
      </c>
      <c r="P11">
        <v>0</v>
      </c>
      <c r="Q11">
        <v>0</v>
      </c>
      <c r="R11">
        <v>0</v>
      </c>
      <c r="S11">
        <v>-478272.69900497497</v>
      </c>
      <c r="T11">
        <v>-562997.44346064702</v>
      </c>
    </row>
    <row r="12" spans="2:20" x14ac:dyDescent="0.25"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-719758.08032239799</v>
      </c>
      <c r="J12">
        <v>519861.62935323297</v>
      </c>
      <c r="K12">
        <v>-905270.38996810396</v>
      </c>
      <c r="L12">
        <v>24546.849867205099</v>
      </c>
      <c r="M12">
        <v>2850145.1065241899</v>
      </c>
      <c r="N12">
        <v>-41588.930348258596</v>
      </c>
      <c r="O12">
        <v>-1047040.46665809</v>
      </c>
      <c r="P12">
        <v>17042.080481053301</v>
      </c>
      <c r="Q12">
        <v>-709492.59766757605</v>
      </c>
      <c r="R12">
        <v>-478272.69900497497</v>
      </c>
      <c r="S12">
        <v>531416.42809198599</v>
      </c>
      <c r="T12">
        <v>-41588.930348258596</v>
      </c>
    </row>
    <row r="13" spans="2:20" x14ac:dyDescent="0.25">
      <c r="B13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519861.62935323297</v>
      </c>
      <c r="J13">
        <v>-739784.15879263298</v>
      </c>
      <c r="K13">
        <v>17042.080481053301</v>
      </c>
      <c r="L13">
        <v>115195.176972022</v>
      </c>
      <c r="M13">
        <v>-41588.930348258596</v>
      </c>
      <c r="N13">
        <v>2541436.1611548602</v>
      </c>
      <c r="O13">
        <v>24546.849867205201</v>
      </c>
      <c r="P13">
        <v>23470.900374574201</v>
      </c>
      <c r="Q13">
        <v>-478272.69900497497</v>
      </c>
      <c r="R13">
        <v>-543405.93589786603</v>
      </c>
      <c r="S13">
        <v>-41588.930348258596</v>
      </c>
      <c r="T13">
        <v>-1396912.14381095</v>
      </c>
    </row>
    <row r="14" spans="2:20" x14ac:dyDescent="0.25"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-1047040.4666581</v>
      </c>
      <c r="N14">
        <v>24546.849867205201</v>
      </c>
      <c r="O14">
        <v>1481082.48019471</v>
      </c>
      <c r="P14">
        <v>-519861.62935323297</v>
      </c>
      <c r="Q14">
        <v>328427.87486241199</v>
      </c>
      <c r="R14">
        <v>-24546.849867205201</v>
      </c>
      <c r="S14">
        <v>-762469.88839902601</v>
      </c>
      <c r="T14">
        <v>519861.62935323297</v>
      </c>
    </row>
    <row r="15" spans="2:20" x14ac:dyDescent="0.25">
      <c r="B15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17042.080481053301</v>
      </c>
      <c r="N15">
        <v>23470.900374574201</v>
      </c>
      <c r="O15">
        <v>-519861.62935323297</v>
      </c>
      <c r="P15">
        <v>1272176.90122725</v>
      </c>
      <c r="Q15">
        <v>-17042.080481053399</v>
      </c>
      <c r="R15">
        <v>-594100.69934142998</v>
      </c>
      <c r="S15">
        <v>519861.62935323297</v>
      </c>
      <c r="T15">
        <v>-701547.10226040299</v>
      </c>
    </row>
    <row r="16" spans="2:20" x14ac:dyDescent="0.25">
      <c r="B16">
        <v>14</v>
      </c>
      <c r="C16">
        <v>332842.64909003198</v>
      </c>
      <c r="D16">
        <v>-66135.780215463907</v>
      </c>
      <c r="E16">
        <v>-819861.95335809595</v>
      </c>
      <c r="F16">
        <v>561450.55970149196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-709492.59766757605</v>
      </c>
      <c r="N16">
        <v>-478272.69900497497</v>
      </c>
      <c r="O16">
        <v>328427.874862411</v>
      </c>
      <c r="P16">
        <v>-17042.080481053301</v>
      </c>
      <c r="Q16">
        <v>2970994.5088446699</v>
      </c>
      <c r="R16">
        <v>-166355.72139303401</v>
      </c>
      <c r="S16">
        <v>-2102910.4817714398</v>
      </c>
      <c r="T16">
        <v>166355.72139303401</v>
      </c>
    </row>
    <row r="17" spans="2:37" x14ac:dyDescent="0.25">
      <c r="B17">
        <v>15</v>
      </c>
      <c r="C17">
        <v>-58631.010829311999</v>
      </c>
      <c r="D17">
        <v>-580922.26881121797</v>
      </c>
      <c r="E17">
        <v>561450.55970149196</v>
      </c>
      <c r="F17">
        <v>-872866.69915314997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-478272.69900497497</v>
      </c>
      <c r="N17">
        <v>-543405.93589786603</v>
      </c>
      <c r="O17">
        <v>-24546.849867205201</v>
      </c>
      <c r="P17">
        <v>-594100.69934142998</v>
      </c>
      <c r="Q17">
        <v>-166355.72139303401</v>
      </c>
      <c r="R17">
        <v>2570710.6635149401</v>
      </c>
      <c r="S17">
        <v>166355.72139303401</v>
      </c>
      <c r="T17">
        <v>20584.939688725699</v>
      </c>
    </row>
    <row r="18" spans="2:37" x14ac:dyDescent="0.25">
      <c r="B18">
        <v>16</v>
      </c>
      <c r="C18">
        <v>-660930.081163747</v>
      </c>
      <c r="D18">
        <v>-436683.76865671598</v>
      </c>
      <c r="E18">
        <v>540766.49812262505</v>
      </c>
      <c r="F18">
        <v>-124766.791044775</v>
      </c>
      <c r="G18">
        <v>-783916.92576162994</v>
      </c>
      <c r="H18">
        <v>561450.55970149196</v>
      </c>
      <c r="I18">
        <v>-1820411.37154224</v>
      </c>
      <c r="J18">
        <v>166355.72139303401</v>
      </c>
      <c r="K18">
        <v>-660534.53068618197</v>
      </c>
      <c r="L18">
        <v>-478272.69900497497</v>
      </c>
      <c r="M18">
        <v>531416.42809198599</v>
      </c>
      <c r="N18">
        <v>-41588.930348258596</v>
      </c>
      <c r="O18">
        <v>-762469.88839902601</v>
      </c>
      <c r="P18">
        <v>519861.62935323297</v>
      </c>
      <c r="Q18">
        <v>-2102910.4817714398</v>
      </c>
      <c r="R18">
        <v>166355.72139303401</v>
      </c>
      <c r="S18">
        <v>5718990.3531096596</v>
      </c>
      <c r="T18">
        <v>-332711.442786069</v>
      </c>
    </row>
    <row r="19" spans="2:37" x14ac:dyDescent="0.25">
      <c r="B19">
        <v>17</v>
      </c>
      <c r="C19">
        <v>-436683.76865671598</v>
      </c>
      <c r="D19">
        <v>-398443.20006554102</v>
      </c>
      <c r="E19">
        <v>-124766.791044775</v>
      </c>
      <c r="F19">
        <v>-1369001.4870030701</v>
      </c>
      <c r="G19">
        <v>561450.55970149196</v>
      </c>
      <c r="H19">
        <v>-931303.10040228395</v>
      </c>
      <c r="I19">
        <v>166355.72139303401</v>
      </c>
      <c r="J19">
        <v>200925.90138871301</v>
      </c>
      <c r="K19">
        <v>-478272.69900497497</v>
      </c>
      <c r="L19">
        <v>-562997.44346064702</v>
      </c>
      <c r="M19">
        <v>-41588.930348258596</v>
      </c>
      <c r="N19">
        <v>-1396912.14381095</v>
      </c>
      <c r="O19">
        <v>519861.62935323297</v>
      </c>
      <c r="P19">
        <v>-701547.10226040299</v>
      </c>
      <c r="Q19">
        <v>166355.72139303401</v>
      </c>
      <c r="R19">
        <v>20584.939688725801</v>
      </c>
      <c r="S19">
        <v>-332711.442786069</v>
      </c>
      <c r="T19">
        <v>5138693.6359254699</v>
      </c>
    </row>
    <row r="21" spans="2:37" x14ac:dyDescent="0.25">
      <c r="B21" s="2" t="s">
        <v>1</v>
      </c>
    </row>
    <row r="22" spans="2:37" x14ac:dyDescent="0.25">
      <c r="B22">
        <v>0</v>
      </c>
      <c r="C22">
        <v>1390231.07372104</v>
      </c>
      <c r="D22">
        <v>353505.90796019899</v>
      </c>
      <c r="E22">
        <v>-1062143.64164732</v>
      </c>
      <c r="F22">
        <v>141808.87152582899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332842.64909003198</v>
      </c>
      <c r="R22">
        <v>-58631.010829311999</v>
      </c>
      <c r="S22">
        <v>-660930.081163747</v>
      </c>
      <c r="T22">
        <v>-436683.76865671598</v>
      </c>
      <c r="V22">
        <f>(C22-C2)</f>
        <v>0</v>
      </c>
      <c r="W22">
        <f t="shared" ref="W22:AK37" si="0">(D22-D2)</f>
        <v>0</v>
      </c>
      <c r="X22">
        <f t="shared" si="0"/>
        <v>0</v>
      </c>
      <c r="Y22">
        <f t="shared" si="0"/>
        <v>0</v>
      </c>
      <c r="Z22">
        <f t="shared" si="0"/>
        <v>0</v>
      </c>
      <c r="AA22">
        <f t="shared" si="0"/>
        <v>0</v>
      </c>
      <c r="AB22">
        <f t="shared" si="0"/>
        <v>0</v>
      </c>
      <c r="AC22">
        <f t="shared" si="0"/>
        <v>0</v>
      </c>
      <c r="AD22">
        <f t="shared" si="0"/>
        <v>0</v>
      </c>
      <c r="AE22">
        <f t="shared" si="0"/>
        <v>0</v>
      </c>
      <c r="AF22">
        <f t="shared" si="0"/>
        <v>0</v>
      </c>
      <c r="AG22">
        <f t="shared" si="0"/>
        <v>0</v>
      </c>
      <c r="AH22">
        <f t="shared" si="0"/>
        <v>0</v>
      </c>
      <c r="AI22">
        <f t="shared" si="0"/>
        <v>0</v>
      </c>
      <c r="AJ22">
        <f t="shared" si="0"/>
        <v>0</v>
      </c>
      <c r="AK22">
        <f t="shared" si="0"/>
        <v>0</v>
      </c>
    </row>
    <row r="23" spans="2:37" x14ac:dyDescent="0.25">
      <c r="B23">
        <v>1</v>
      </c>
      <c r="C23">
        <v>353505.90796019899</v>
      </c>
      <c r="D23">
        <v>1000978.6729476399</v>
      </c>
      <c r="E23">
        <v>149313.640911981</v>
      </c>
      <c r="F23">
        <v>-21613.2040708856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-66135.780215463994</v>
      </c>
      <c r="R23">
        <v>-580922.26881121797</v>
      </c>
      <c r="S23">
        <v>-436683.76865671598</v>
      </c>
      <c r="T23">
        <v>-398443.20006554102</v>
      </c>
      <c r="V23">
        <f t="shared" ref="V23:AK38" si="1">(C23-C3)</f>
        <v>0</v>
      </c>
      <c r="W23">
        <f t="shared" si="0"/>
        <v>0</v>
      </c>
      <c r="X23">
        <f t="shared" si="0"/>
        <v>0</v>
      </c>
      <c r="Y23">
        <f t="shared" si="0"/>
        <v>0</v>
      </c>
      <c r="Z23">
        <f t="shared" si="0"/>
        <v>0</v>
      </c>
      <c r="AA23">
        <f t="shared" si="0"/>
        <v>0</v>
      </c>
      <c r="AB23">
        <f t="shared" si="0"/>
        <v>0</v>
      </c>
      <c r="AC23">
        <f t="shared" si="0"/>
        <v>0</v>
      </c>
      <c r="AD23">
        <f t="shared" si="0"/>
        <v>0</v>
      </c>
      <c r="AE23">
        <f t="shared" si="0"/>
        <v>0</v>
      </c>
      <c r="AF23">
        <f t="shared" si="0"/>
        <v>0</v>
      </c>
      <c r="AG23">
        <f t="shared" si="0"/>
        <v>0</v>
      </c>
      <c r="AH23">
        <f t="shared" si="0"/>
        <v>0</v>
      </c>
      <c r="AI23">
        <f t="shared" si="0"/>
        <v>0</v>
      </c>
      <c r="AJ23">
        <f t="shared" si="0"/>
        <v>0</v>
      </c>
      <c r="AK23">
        <f t="shared" si="0"/>
        <v>0</v>
      </c>
    </row>
    <row r="24" spans="2:37" x14ac:dyDescent="0.25">
      <c r="B24">
        <v>2</v>
      </c>
      <c r="C24">
        <v>-1062143.64164732</v>
      </c>
      <c r="D24">
        <v>149313.640911981</v>
      </c>
      <c r="E24">
        <v>3213425.9388595498</v>
      </c>
      <c r="F24">
        <v>-20794.4651741294</v>
      </c>
      <c r="G24">
        <v>-741815.61724944995</v>
      </c>
      <c r="H24">
        <v>58631.010829311999</v>
      </c>
      <c r="I24">
        <v>-932458.56912994396</v>
      </c>
      <c r="J24">
        <v>-561450.55970149196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-819861.95335809595</v>
      </c>
      <c r="R24">
        <v>561450.55970149196</v>
      </c>
      <c r="S24">
        <v>342853.84252526198</v>
      </c>
      <c r="T24">
        <v>-187150.186567164</v>
      </c>
      <c r="V24">
        <f t="shared" si="1"/>
        <v>0</v>
      </c>
      <c r="W24">
        <f t="shared" si="0"/>
        <v>0</v>
      </c>
      <c r="X24">
        <f t="shared" si="0"/>
        <v>343541.79560400965</v>
      </c>
      <c r="Y24">
        <f t="shared" si="0"/>
        <v>270328.0472636816</v>
      </c>
      <c r="Z24">
        <f t="shared" si="0"/>
        <v>180583.15227030404</v>
      </c>
      <c r="AA24">
        <f t="shared" si="0"/>
        <v>-83177.860696516989</v>
      </c>
      <c r="AB24">
        <f t="shared" si="0"/>
        <v>-326212.29227695893</v>
      </c>
      <c r="AC24">
        <f t="shared" si="0"/>
        <v>-124766.79104477598</v>
      </c>
      <c r="AD24">
        <f t="shared" si="0"/>
        <v>0</v>
      </c>
      <c r="AE24">
        <f t="shared" si="0"/>
        <v>0</v>
      </c>
      <c r="AF24">
        <f t="shared" si="0"/>
        <v>0</v>
      </c>
      <c r="AG24">
        <f t="shared" si="0"/>
        <v>0</v>
      </c>
      <c r="AH24">
        <f t="shared" si="0"/>
        <v>0</v>
      </c>
      <c r="AI24">
        <f t="shared" si="0"/>
        <v>0</v>
      </c>
      <c r="AJ24">
        <f t="shared" si="0"/>
        <v>0</v>
      </c>
      <c r="AK24">
        <f t="shared" si="0"/>
        <v>0</v>
      </c>
    </row>
    <row r="25" spans="2:37" x14ac:dyDescent="0.25">
      <c r="B25">
        <v>3</v>
      </c>
      <c r="C25">
        <v>141808.87152582899</v>
      </c>
      <c r="D25">
        <v>-21613.2040708856</v>
      </c>
      <c r="E25">
        <v>-20794.4651741294</v>
      </c>
      <c r="F25">
        <v>3090758.36324612</v>
      </c>
      <c r="G25">
        <v>66135.780215463907</v>
      </c>
      <c r="H25">
        <v>223422.15534829901</v>
      </c>
      <c r="I25">
        <v>-561450.55970149196</v>
      </c>
      <c r="J25">
        <v>-784304.007785397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561450.55970149196</v>
      </c>
      <c r="R25">
        <v>-872866.69915314997</v>
      </c>
      <c r="S25">
        <v>-187150.186567164</v>
      </c>
      <c r="T25">
        <v>-1635396.6075849801</v>
      </c>
      <c r="V25">
        <f t="shared" si="1"/>
        <v>0</v>
      </c>
      <c r="W25">
        <f t="shared" si="0"/>
        <v>0</v>
      </c>
      <c r="X25">
        <f t="shared" si="0"/>
        <v>270328.0472636816</v>
      </c>
      <c r="Y25">
        <f t="shared" si="0"/>
        <v>490399.70438575</v>
      </c>
      <c r="Z25">
        <f t="shared" si="0"/>
        <v>-83177.860696517091</v>
      </c>
      <c r="AA25">
        <f t="shared" si="0"/>
        <v>159356.46957523361</v>
      </c>
      <c r="AB25">
        <f t="shared" si="0"/>
        <v>-124766.79104477598</v>
      </c>
      <c r="AC25">
        <f t="shared" si="0"/>
        <v>-383361.05337907001</v>
      </c>
      <c r="AD25">
        <f t="shared" si="0"/>
        <v>0</v>
      </c>
      <c r="AE25">
        <f t="shared" si="0"/>
        <v>0</v>
      </c>
      <c r="AF25">
        <f t="shared" si="0"/>
        <v>0</v>
      </c>
      <c r="AG25">
        <f t="shared" si="0"/>
        <v>0</v>
      </c>
      <c r="AH25">
        <f t="shared" si="0"/>
        <v>0</v>
      </c>
      <c r="AI25">
        <f t="shared" si="0"/>
        <v>0</v>
      </c>
      <c r="AJ25">
        <f t="shared" si="0"/>
        <v>0</v>
      </c>
      <c r="AK25">
        <f t="shared" si="0"/>
        <v>0</v>
      </c>
    </row>
    <row r="26" spans="2:37" x14ac:dyDescent="0.25">
      <c r="B26">
        <v>4</v>
      </c>
      <c r="C26">
        <v>0</v>
      </c>
      <c r="D26">
        <v>0</v>
      </c>
      <c r="E26">
        <v>-741815.61724944995</v>
      </c>
      <c r="F26">
        <v>66135.780215463994</v>
      </c>
      <c r="G26">
        <v>1023515.28221319</v>
      </c>
      <c r="H26">
        <v>-374300.37313432799</v>
      </c>
      <c r="I26">
        <v>120398.75817024399</v>
      </c>
      <c r="J26">
        <v>-128519.17573785099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-402098.423133987</v>
      </c>
      <c r="T26">
        <v>436683.76865671598</v>
      </c>
      <c r="V26">
        <f t="shared" si="1"/>
        <v>0</v>
      </c>
      <c r="W26">
        <f t="shared" si="0"/>
        <v>0</v>
      </c>
      <c r="X26">
        <f t="shared" si="0"/>
        <v>180583.15227030404</v>
      </c>
      <c r="Y26">
        <f t="shared" si="0"/>
        <v>-83177.860696517004</v>
      </c>
      <c r="Z26">
        <f t="shared" si="0"/>
        <v>-480667.76902702998</v>
      </c>
      <c r="AA26">
        <f t="shared" si="0"/>
        <v>270328.04726368206</v>
      </c>
      <c r="AB26">
        <f t="shared" si="0"/>
        <v>-81733.88587091901</v>
      </c>
      <c r="AC26">
        <f t="shared" si="0"/>
        <v>-62383.395522387</v>
      </c>
      <c r="AD26">
        <f t="shared" si="0"/>
        <v>0</v>
      </c>
      <c r="AE26">
        <f t="shared" si="0"/>
        <v>0</v>
      </c>
      <c r="AF26">
        <f t="shared" si="0"/>
        <v>0</v>
      </c>
      <c r="AG26">
        <f t="shared" si="0"/>
        <v>0</v>
      </c>
      <c r="AH26">
        <f t="shared" si="0"/>
        <v>0</v>
      </c>
      <c r="AI26">
        <f t="shared" si="0"/>
        <v>0</v>
      </c>
      <c r="AJ26">
        <f t="shared" si="0"/>
        <v>0</v>
      </c>
      <c r="AK26">
        <f t="shared" si="0"/>
        <v>0</v>
      </c>
    </row>
    <row r="27" spans="2:37" x14ac:dyDescent="0.25">
      <c r="B27">
        <v>5</v>
      </c>
      <c r="C27">
        <v>0</v>
      </c>
      <c r="D27">
        <v>0</v>
      </c>
      <c r="E27">
        <v>58631.010829312101</v>
      </c>
      <c r="F27">
        <v>223422.15534829901</v>
      </c>
      <c r="G27">
        <v>-374300.37313432799</v>
      </c>
      <c r="H27">
        <v>1258977.7827876799</v>
      </c>
      <c r="I27">
        <v>-121014.4063517</v>
      </c>
      <c r="J27">
        <v>-875766.57925923599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436683.76865671598</v>
      </c>
      <c r="T27">
        <v>-606633.35887675104</v>
      </c>
      <c r="V27">
        <f t="shared" si="1"/>
        <v>0</v>
      </c>
      <c r="W27">
        <f t="shared" si="0"/>
        <v>0</v>
      </c>
      <c r="X27">
        <f t="shared" si="0"/>
        <v>-83177.860696516887</v>
      </c>
      <c r="Y27">
        <f t="shared" si="0"/>
        <v>159356.46957523352</v>
      </c>
      <c r="Z27">
        <f t="shared" si="0"/>
        <v>270328.04726368206</v>
      </c>
      <c r="AA27">
        <f t="shared" si="0"/>
        <v>-413626.02911229013</v>
      </c>
      <c r="AB27">
        <f t="shared" si="0"/>
        <v>-62383.395522388004</v>
      </c>
      <c r="AC27">
        <f t="shared" si="0"/>
        <v>-70400.181988482946</v>
      </c>
      <c r="AD27">
        <f t="shared" si="0"/>
        <v>0</v>
      </c>
      <c r="AE27">
        <f t="shared" si="0"/>
        <v>0</v>
      </c>
      <c r="AF27">
        <f t="shared" si="0"/>
        <v>0</v>
      </c>
      <c r="AG27">
        <f t="shared" si="0"/>
        <v>0</v>
      </c>
      <c r="AH27">
        <f t="shared" si="0"/>
        <v>0</v>
      </c>
      <c r="AI27">
        <f t="shared" si="0"/>
        <v>0</v>
      </c>
      <c r="AJ27">
        <f t="shared" si="0"/>
        <v>0</v>
      </c>
      <c r="AK27">
        <f t="shared" si="0"/>
        <v>0</v>
      </c>
    </row>
    <row r="28" spans="2:37" x14ac:dyDescent="0.25">
      <c r="B28">
        <v>6</v>
      </c>
      <c r="C28">
        <v>0</v>
      </c>
      <c r="D28">
        <v>0</v>
      </c>
      <c r="E28">
        <v>-932458.56912994396</v>
      </c>
      <c r="F28">
        <v>-561450.55970149196</v>
      </c>
      <c r="G28">
        <v>120398.75817024399</v>
      </c>
      <c r="H28">
        <v>-121014.4063517</v>
      </c>
      <c r="I28">
        <v>2995734.6627832502</v>
      </c>
      <c r="J28">
        <v>62383.395522387997</v>
      </c>
      <c r="K28">
        <v>197197.348238145</v>
      </c>
      <c r="L28">
        <v>-24546.849867205201</v>
      </c>
      <c r="M28">
        <v>-719758.08032239706</v>
      </c>
      <c r="N28">
        <v>519861.62935323297</v>
      </c>
      <c r="O28">
        <v>0</v>
      </c>
      <c r="P28">
        <v>0</v>
      </c>
      <c r="Q28">
        <v>0</v>
      </c>
      <c r="R28">
        <v>0</v>
      </c>
      <c r="S28">
        <v>-1661114.1197393001</v>
      </c>
      <c r="T28">
        <v>124766.791044775</v>
      </c>
      <c r="V28">
        <f t="shared" si="1"/>
        <v>0</v>
      </c>
      <c r="W28">
        <f t="shared" si="0"/>
        <v>0</v>
      </c>
      <c r="X28">
        <f t="shared" si="0"/>
        <v>-326212.29227695893</v>
      </c>
      <c r="Y28">
        <f t="shared" si="0"/>
        <v>-124766.79104477598</v>
      </c>
      <c r="Z28">
        <f t="shared" si="0"/>
        <v>-81733.88587091901</v>
      </c>
      <c r="AA28">
        <f t="shared" si="0"/>
        <v>-62383.395522387902</v>
      </c>
      <c r="AB28">
        <f t="shared" si="0"/>
        <v>248648.92634494044</v>
      </c>
      <c r="AC28">
        <f t="shared" si="0"/>
        <v>228739.116915422</v>
      </c>
      <c r="AD28">
        <f t="shared" si="0"/>
        <v>0</v>
      </c>
      <c r="AE28">
        <f t="shared" si="0"/>
        <v>0</v>
      </c>
      <c r="AF28">
        <f t="shared" si="0"/>
        <v>9.3132257461547852E-10</v>
      </c>
      <c r="AG28">
        <f t="shared" si="0"/>
        <v>0</v>
      </c>
      <c r="AH28">
        <f t="shared" si="0"/>
        <v>0</v>
      </c>
      <c r="AI28">
        <f t="shared" si="0"/>
        <v>0</v>
      </c>
      <c r="AJ28">
        <f t="shared" si="0"/>
        <v>0</v>
      </c>
      <c r="AK28">
        <f t="shared" si="0"/>
        <v>0</v>
      </c>
    </row>
    <row r="29" spans="2:37" x14ac:dyDescent="0.25">
      <c r="B29">
        <v>7</v>
      </c>
      <c r="C29">
        <v>0</v>
      </c>
      <c r="D29">
        <v>0</v>
      </c>
      <c r="E29">
        <v>-561450.55970149196</v>
      </c>
      <c r="F29">
        <v>-784304.007785397</v>
      </c>
      <c r="G29">
        <v>-128519.175737852</v>
      </c>
      <c r="H29">
        <v>-875766.57925923599</v>
      </c>
      <c r="I29">
        <v>62383.395522388098</v>
      </c>
      <c r="J29">
        <v>2895652.2946010702</v>
      </c>
      <c r="K29">
        <v>-17042.080481053399</v>
      </c>
      <c r="L29">
        <v>-820098.62354841805</v>
      </c>
      <c r="M29">
        <v>519861.62935323297</v>
      </c>
      <c r="N29">
        <v>-739784.15879263298</v>
      </c>
      <c r="O29">
        <v>0</v>
      </c>
      <c r="P29">
        <v>0</v>
      </c>
      <c r="Q29">
        <v>0</v>
      </c>
      <c r="R29">
        <v>0</v>
      </c>
      <c r="S29">
        <v>124766.79104477599</v>
      </c>
      <c r="T29">
        <v>324301.07478461298</v>
      </c>
      <c r="V29">
        <f t="shared" si="1"/>
        <v>0</v>
      </c>
      <c r="W29">
        <f t="shared" si="0"/>
        <v>0</v>
      </c>
      <c r="X29">
        <f t="shared" si="0"/>
        <v>-124766.79104477598</v>
      </c>
      <c r="Y29">
        <f t="shared" si="0"/>
        <v>-383361.05337907001</v>
      </c>
      <c r="Z29">
        <f t="shared" si="0"/>
        <v>-62383.395522388004</v>
      </c>
      <c r="AA29">
        <f t="shared" si="0"/>
        <v>-70400.181988482946</v>
      </c>
      <c r="AB29">
        <f t="shared" si="0"/>
        <v>228739.11691542211</v>
      </c>
      <c r="AC29">
        <f t="shared" si="0"/>
        <v>330386.06197166024</v>
      </c>
      <c r="AD29">
        <f t="shared" si="0"/>
        <v>-9.822542779147625E-11</v>
      </c>
      <c r="AE29">
        <f t="shared" si="0"/>
        <v>0</v>
      </c>
      <c r="AF29">
        <f t="shared" si="0"/>
        <v>0</v>
      </c>
      <c r="AG29">
        <f t="shared" si="0"/>
        <v>0</v>
      </c>
      <c r="AH29">
        <f t="shared" si="0"/>
        <v>0</v>
      </c>
      <c r="AI29">
        <f t="shared" si="0"/>
        <v>0</v>
      </c>
      <c r="AJ29">
        <f t="shared" si="0"/>
        <v>0</v>
      </c>
      <c r="AK29">
        <f t="shared" si="0"/>
        <v>0</v>
      </c>
    </row>
    <row r="30" spans="2:37" x14ac:dyDescent="0.25">
      <c r="B30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197197.348238145</v>
      </c>
      <c r="J30">
        <v>-17042.080481053301</v>
      </c>
      <c r="K30">
        <v>1368607.57241614</v>
      </c>
      <c r="L30">
        <v>478272.69900497497</v>
      </c>
      <c r="M30">
        <v>-905270.38996810396</v>
      </c>
      <c r="N30">
        <v>17042.080481053199</v>
      </c>
      <c r="O30">
        <v>0</v>
      </c>
      <c r="P30">
        <v>0</v>
      </c>
      <c r="Q30">
        <v>0</v>
      </c>
      <c r="R30">
        <v>0</v>
      </c>
      <c r="S30">
        <v>-660534.53068618197</v>
      </c>
      <c r="T30">
        <v>-478272.69900497497</v>
      </c>
      <c r="V30">
        <f t="shared" si="1"/>
        <v>0</v>
      </c>
      <c r="W30">
        <f t="shared" si="0"/>
        <v>0</v>
      </c>
      <c r="X30">
        <f t="shared" si="0"/>
        <v>0</v>
      </c>
      <c r="Y30">
        <f t="shared" si="0"/>
        <v>0</v>
      </c>
      <c r="Z30">
        <f t="shared" si="0"/>
        <v>0</v>
      </c>
      <c r="AA30">
        <f t="shared" si="0"/>
        <v>0</v>
      </c>
      <c r="AB30">
        <f t="shared" si="0"/>
        <v>0</v>
      </c>
      <c r="AC30">
        <f t="shared" si="0"/>
        <v>0</v>
      </c>
      <c r="AD30">
        <f t="shared" si="0"/>
        <v>0</v>
      </c>
      <c r="AE30">
        <f t="shared" si="0"/>
        <v>0</v>
      </c>
      <c r="AF30">
        <f t="shared" si="0"/>
        <v>0</v>
      </c>
      <c r="AG30">
        <f t="shared" si="0"/>
        <v>0</v>
      </c>
      <c r="AH30">
        <f t="shared" si="0"/>
        <v>0</v>
      </c>
      <c r="AI30">
        <f t="shared" si="0"/>
        <v>0</v>
      </c>
      <c r="AJ30">
        <f t="shared" si="0"/>
        <v>0</v>
      </c>
      <c r="AK30">
        <f t="shared" si="0"/>
        <v>0</v>
      </c>
    </row>
    <row r="31" spans="2:37" x14ac:dyDescent="0.25">
      <c r="B3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-24546.849867205299</v>
      </c>
      <c r="J31">
        <v>-820098.62354841805</v>
      </c>
      <c r="K31">
        <v>478272.69900497497</v>
      </c>
      <c r="L31">
        <v>1267900.89003704</v>
      </c>
      <c r="M31">
        <v>24546.849867205201</v>
      </c>
      <c r="N31">
        <v>115195.176972022</v>
      </c>
      <c r="O31">
        <v>0</v>
      </c>
      <c r="P31">
        <v>0</v>
      </c>
      <c r="Q31">
        <v>0</v>
      </c>
      <c r="R31">
        <v>0</v>
      </c>
      <c r="S31">
        <v>-478272.69900497497</v>
      </c>
      <c r="T31">
        <v>-562997.44346064702</v>
      </c>
      <c r="V31">
        <f t="shared" si="1"/>
        <v>0</v>
      </c>
      <c r="W31">
        <f t="shared" si="0"/>
        <v>0</v>
      </c>
      <c r="X31">
        <f t="shared" si="0"/>
        <v>0</v>
      </c>
      <c r="Y31">
        <f t="shared" si="0"/>
        <v>0</v>
      </c>
      <c r="Z31">
        <f t="shared" si="0"/>
        <v>0</v>
      </c>
      <c r="AA31">
        <f t="shared" si="0"/>
        <v>0</v>
      </c>
      <c r="AB31">
        <f t="shared" si="0"/>
        <v>-9.822542779147625E-11</v>
      </c>
      <c r="AC31">
        <f t="shared" si="0"/>
        <v>0</v>
      </c>
      <c r="AD31">
        <f t="shared" si="0"/>
        <v>0</v>
      </c>
      <c r="AE31">
        <f t="shared" si="0"/>
        <v>0</v>
      </c>
      <c r="AF31">
        <f t="shared" si="0"/>
        <v>0</v>
      </c>
      <c r="AG31">
        <f t="shared" si="0"/>
        <v>0</v>
      </c>
      <c r="AH31">
        <f t="shared" si="0"/>
        <v>0</v>
      </c>
      <c r="AI31">
        <f t="shared" si="0"/>
        <v>0</v>
      </c>
      <c r="AJ31">
        <f t="shared" si="0"/>
        <v>0</v>
      </c>
      <c r="AK31">
        <f t="shared" si="0"/>
        <v>0</v>
      </c>
    </row>
    <row r="32" spans="2:37" x14ac:dyDescent="0.25">
      <c r="B32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-719758.08032239706</v>
      </c>
      <c r="J32">
        <v>519861.62935323297</v>
      </c>
      <c r="K32">
        <v>-905270.38996810396</v>
      </c>
      <c r="L32">
        <v>24546.849867205201</v>
      </c>
      <c r="M32">
        <v>2678666.5592632</v>
      </c>
      <c r="N32">
        <v>20794.465174129498</v>
      </c>
      <c r="O32">
        <v>-643115.21289239195</v>
      </c>
      <c r="P32">
        <v>17042.080481053301</v>
      </c>
      <c r="Q32">
        <v>-702471.90440287394</v>
      </c>
      <c r="R32">
        <v>-519861.62935323297</v>
      </c>
      <c r="S32">
        <v>291949.028322561</v>
      </c>
      <c r="T32">
        <v>-62383.3955223882</v>
      </c>
      <c r="V32">
        <f t="shared" si="1"/>
        <v>0</v>
      </c>
      <c r="W32">
        <f t="shared" si="0"/>
        <v>0</v>
      </c>
      <c r="X32">
        <f t="shared" si="0"/>
        <v>0</v>
      </c>
      <c r="Y32">
        <f t="shared" si="0"/>
        <v>0</v>
      </c>
      <c r="Z32">
        <f t="shared" si="0"/>
        <v>0</v>
      </c>
      <c r="AA32">
        <f t="shared" si="0"/>
        <v>0</v>
      </c>
      <c r="AB32">
        <f t="shared" si="0"/>
        <v>9.3132257461547852E-10</v>
      </c>
      <c r="AC32">
        <f t="shared" si="0"/>
        <v>0</v>
      </c>
      <c r="AD32">
        <f t="shared" si="0"/>
        <v>0</v>
      </c>
      <c r="AE32">
        <f t="shared" si="0"/>
        <v>1.0186340659856796E-10</v>
      </c>
      <c r="AF32">
        <f t="shared" si="0"/>
        <v>-171478.5472609899</v>
      </c>
      <c r="AG32">
        <f t="shared" si="0"/>
        <v>62383.395522388091</v>
      </c>
      <c r="AH32">
        <f t="shared" si="0"/>
        <v>403925.25376569806</v>
      </c>
      <c r="AI32">
        <f t="shared" si="0"/>
        <v>0</v>
      </c>
      <c r="AJ32">
        <f t="shared" si="0"/>
        <v>7020.6932647021022</v>
      </c>
      <c r="AK32">
        <f t="shared" si="0"/>
        <v>-41588.930348258</v>
      </c>
    </row>
    <row r="33" spans="2:37" x14ac:dyDescent="0.25">
      <c r="B33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519861.62935323297</v>
      </c>
      <c r="J33">
        <v>-739784.15879263298</v>
      </c>
      <c r="K33">
        <v>17042.080481053301</v>
      </c>
      <c r="L33">
        <v>115195.176972022</v>
      </c>
      <c r="M33">
        <v>20794.465174129498</v>
      </c>
      <c r="N33">
        <v>2789306.2553906399</v>
      </c>
      <c r="O33">
        <v>24546.849867205201</v>
      </c>
      <c r="P33">
        <v>312008.01282283902</v>
      </c>
      <c r="Q33">
        <v>-519861.62935323297</v>
      </c>
      <c r="R33">
        <v>-762779.69711675297</v>
      </c>
      <c r="S33">
        <v>-62383.395522388098</v>
      </c>
      <c r="T33">
        <v>-1713945.5892761101</v>
      </c>
      <c r="V33">
        <f t="shared" si="1"/>
        <v>0</v>
      </c>
      <c r="W33">
        <f t="shared" si="0"/>
        <v>0</v>
      </c>
      <c r="X33">
        <f t="shared" si="0"/>
        <v>0</v>
      </c>
      <c r="Y33">
        <f t="shared" si="0"/>
        <v>0</v>
      </c>
      <c r="Z33">
        <f t="shared" si="0"/>
        <v>0</v>
      </c>
      <c r="AA33">
        <f t="shared" si="0"/>
        <v>0</v>
      </c>
      <c r="AB33">
        <f t="shared" si="0"/>
        <v>0</v>
      </c>
      <c r="AC33">
        <f t="shared" si="0"/>
        <v>0</v>
      </c>
      <c r="AD33">
        <f t="shared" si="0"/>
        <v>0</v>
      </c>
      <c r="AE33">
        <f t="shared" si="0"/>
        <v>0</v>
      </c>
      <c r="AF33">
        <f t="shared" si="0"/>
        <v>62383.395522388091</v>
      </c>
      <c r="AG33">
        <f t="shared" si="0"/>
        <v>247870.09423577972</v>
      </c>
      <c r="AH33">
        <f t="shared" si="0"/>
        <v>0</v>
      </c>
      <c r="AI33">
        <f t="shared" si="0"/>
        <v>288537.11244826484</v>
      </c>
      <c r="AJ33">
        <f t="shared" si="0"/>
        <v>-41588.930348258</v>
      </c>
      <c r="AK33">
        <f t="shared" si="0"/>
        <v>-219373.76121888694</v>
      </c>
    </row>
    <row r="34" spans="2:37" x14ac:dyDescent="0.25">
      <c r="B34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-643115.21289239195</v>
      </c>
      <c r="N34">
        <v>24546.849867205299</v>
      </c>
      <c r="O34">
        <v>1204448.72732272</v>
      </c>
      <c r="P34">
        <v>-457478.23383084498</v>
      </c>
      <c r="Q34">
        <v>-17002.776389998198</v>
      </c>
      <c r="R34">
        <v>-45341.315041334703</v>
      </c>
      <c r="S34">
        <v>-544330.73804033699</v>
      </c>
      <c r="T34">
        <v>478272.69900497497</v>
      </c>
      <c r="V34">
        <f t="shared" si="1"/>
        <v>0</v>
      </c>
      <c r="W34">
        <f t="shared" si="0"/>
        <v>0</v>
      </c>
      <c r="X34">
        <f t="shared" si="0"/>
        <v>0</v>
      </c>
      <c r="Y34">
        <f t="shared" si="0"/>
        <v>0</v>
      </c>
      <c r="Z34">
        <f t="shared" si="0"/>
        <v>0</v>
      </c>
      <c r="AA34">
        <f t="shared" si="0"/>
        <v>0</v>
      </c>
      <c r="AB34">
        <f t="shared" si="0"/>
        <v>0</v>
      </c>
      <c r="AC34">
        <f t="shared" si="0"/>
        <v>0</v>
      </c>
      <c r="AD34">
        <f t="shared" si="0"/>
        <v>0</v>
      </c>
      <c r="AE34">
        <f t="shared" si="0"/>
        <v>0</v>
      </c>
      <c r="AF34">
        <f t="shared" si="0"/>
        <v>403925.25376570807</v>
      </c>
      <c r="AG34">
        <f t="shared" si="0"/>
        <v>9.822542779147625E-11</v>
      </c>
      <c r="AH34">
        <f t="shared" si="0"/>
        <v>-276633.75287198997</v>
      </c>
      <c r="AI34">
        <f t="shared" si="0"/>
        <v>62383.395522387989</v>
      </c>
      <c r="AJ34">
        <f t="shared" si="0"/>
        <v>-345430.6512524102</v>
      </c>
      <c r="AK34">
        <f t="shared" si="0"/>
        <v>-20794.465174129502</v>
      </c>
    </row>
    <row r="35" spans="2:37" x14ac:dyDescent="0.25">
      <c r="B35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17042.080481053399</v>
      </c>
      <c r="N35">
        <v>312008.01282283902</v>
      </c>
      <c r="O35">
        <v>-457478.23383084498</v>
      </c>
      <c r="P35">
        <v>1486154.1529441499</v>
      </c>
      <c r="Q35">
        <v>-37836.545655182803</v>
      </c>
      <c r="R35">
        <v>-1088359.7593816901</v>
      </c>
      <c r="S35">
        <v>478272.69900497497</v>
      </c>
      <c r="T35">
        <v>-709802.40638530406</v>
      </c>
      <c r="V35">
        <f t="shared" si="1"/>
        <v>0</v>
      </c>
      <c r="W35">
        <f t="shared" si="0"/>
        <v>0</v>
      </c>
      <c r="X35">
        <f t="shared" si="0"/>
        <v>0</v>
      </c>
      <c r="Y35">
        <f t="shared" si="0"/>
        <v>0</v>
      </c>
      <c r="Z35">
        <f t="shared" si="0"/>
        <v>0</v>
      </c>
      <c r="AA35">
        <f t="shared" si="0"/>
        <v>0</v>
      </c>
      <c r="AB35">
        <f t="shared" si="0"/>
        <v>0</v>
      </c>
      <c r="AC35">
        <f t="shared" si="0"/>
        <v>0</v>
      </c>
      <c r="AD35">
        <f t="shared" si="0"/>
        <v>0</v>
      </c>
      <c r="AE35">
        <f t="shared" si="0"/>
        <v>0</v>
      </c>
      <c r="AF35">
        <f t="shared" si="0"/>
        <v>9.822542779147625E-11</v>
      </c>
      <c r="AG35">
        <f t="shared" si="0"/>
        <v>288537.11244826484</v>
      </c>
      <c r="AH35">
        <f t="shared" si="0"/>
        <v>62383.395522387989</v>
      </c>
      <c r="AI35">
        <f t="shared" si="0"/>
        <v>213977.25171689992</v>
      </c>
      <c r="AJ35">
        <f t="shared" si="0"/>
        <v>-20794.465174129404</v>
      </c>
      <c r="AK35">
        <f t="shared" si="0"/>
        <v>-494259.06004026008</v>
      </c>
    </row>
    <row r="36" spans="2:37" x14ac:dyDescent="0.25">
      <c r="B36">
        <v>14</v>
      </c>
      <c r="C36">
        <v>332842.64909003198</v>
      </c>
      <c r="D36">
        <v>-66135.780215463907</v>
      </c>
      <c r="E36">
        <v>-819861.95335809595</v>
      </c>
      <c r="F36">
        <v>561450.55970149196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-702471.90440287394</v>
      </c>
      <c r="N36">
        <v>-519861.62935323297</v>
      </c>
      <c r="O36">
        <v>-17002.776389998198</v>
      </c>
      <c r="P36">
        <v>-37836.545655182803</v>
      </c>
      <c r="Q36">
        <v>2899567.9933722601</v>
      </c>
      <c r="R36">
        <v>-62383.395522387997</v>
      </c>
      <c r="S36">
        <v>-1693074.0083113201</v>
      </c>
      <c r="T36">
        <v>124766.79104477599</v>
      </c>
      <c r="V36">
        <f t="shared" si="1"/>
        <v>0</v>
      </c>
      <c r="W36">
        <f t="shared" si="0"/>
        <v>0</v>
      </c>
      <c r="X36">
        <f t="shared" si="0"/>
        <v>0</v>
      </c>
      <c r="Y36">
        <f t="shared" si="0"/>
        <v>0</v>
      </c>
      <c r="Z36">
        <f t="shared" si="0"/>
        <v>0</v>
      </c>
      <c r="AA36">
        <f t="shared" si="0"/>
        <v>0</v>
      </c>
      <c r="AB36">
        <f t="shared" si="0"/>
        <v>0</v>
      </c>
      <c r="AC36">
        <f t="shared" si="0"/>
        <v>0</v>
      </c>
      <c r="AD36">
        <f t="shared" si="0"/>
        <v>0</v>
      </c>
      <c r="AE36">
        <f t="shared" si="0"/>
        <v>0</v>
      </c>
      <c r="AF36">
        <f t="shared" si="0"/>
        <v>7020.6932647021022</v>
      </c>
      <c r="AG36">
        <f t="shared" si="0"/>
        <v>-41588.930348258</v>
      </c>
      <c r="AH36">
        <f t="shared" si="0"/>
        <v>-345430.65125240921</v>
      </c>
      <c r="AI36">
        <f t="shared" si="0"/>
        <v>-20794.465174129502</v>
      </c>
      <c r="AJ36">
        <f t="shared" si="0"/>
        <v>-71426.515472409781</v>
      </c>
      <c r="AK36">
        <f t="shared" si="0"/>
        <v>103972.32587064602</v>
      </c>
    </row>
    <row r="37" spans="2:37" x14ac:dyDescent="0.25">
      <c r="B37">
        <v>15</v>
      </c>
      <c r="C37">
        <v>-58631.010829311999</v>
      </c>
      <c r="D37">
        <v>-580922.26881121797</v>
      </c>
      <c r="E37">
        <v>561450.55970149196</v>
      </c>
      <c r="F37">
        <v>-872866.69915314997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-519861.62935323297</v>
      </c>
      <c r="N37">
        <v>-762779.69711675297</v>
      </c>
      <c r="O37">
        <v>-45341.315041334703</v>
      </c>
      <c r="P37">
        <v>-1088359.7593816901</v>
      </c>
      <c r="Q37">
        <v>-62383.395522387902</v>
      </c>
      <c r="R37">
        <v>2985513.3244801201</v>
      </c>
      <c r="S37">
        <v>124766.79104477599</v>
      </c>
      <c r="T37">
        <v>319415.09998269298</v>
      </c>
      <c r="V37">
        <f t="shared" si="1"/>
        <v>0</v>
      </c>
      <c r="W37">
        <f t="shared" si="0"/>
        <v>0</v>
      </c>
      <c r="X37">
        <f t="shared" si="0"/>
        <v>0</v>
      </c>
      <c r="Y37">
        <f t="shared" si="0"/>
        <v>0</v>
      </c>
      <c r="Z37">
        <f t="shared" si="0"/>
        <v>0</v>
      </c>
      <c r="AA37">
        <f t="shared" si="0"/>
        <v>0</v>
      </c>
      <c r="AB37">
        <f t="shared" si="0"/>
        <v>0</v>
      </c>
      <c r="AC37">
        <f t="shared" si="0"/>
        <v>0</v>
      </c>
      <c r="AD37">
        <f t="shared" si="0"/>
        <v>0</v>
      </c>
      <c r="AE37">
        <f t="shared" si="0"/>
        <v>0</v>
      </c>
      <c r="AF37">
        <f t="shared" si="0"/>
        <v>-41588.930348258</v>
      </c>
      <c r="AG37">
        <f t="shared" si="0"/>
        <v>-219373.76121888694</v>
      </c>
      <c r="AH37">
        <f t="shared" si="0"/>
        <v>-20794.465174129502</v>
      </c>
      <c r="AI37">
        <f t="shared" si="0"/>
        <v>-494259.06004026008</v>
      </c>
      <c r="AJ37">
        <f t="shared" si="0"/>
        <v>103972.32587064611</v>
      </c>
      <c r="AK37">
        <f t="shared" si="0"/>
        <v>414802.66096518002</v>
      </c>
    </row>
    <row r="38" spans="2:37" x14ac:dyDescent="0.25">
      <c r="B38">
        <v>16</v>
      </c>
      <c r="C38">
        <v>-660930.081163747</v>
      </c>
      <c r="D38">
        <v>-436683.76865671598</v>
      </c>
      <c r="E38">
        <v>342853.84252526198</v>
      </c>
      <c r="F38">
        <v>-187150.186567164</v>
      </c>
      <c r="G38">
        <v>-402098.423133987</v>
      </c>
      <c r="H38">
        <v>436683.76865671598</v>
      </c>
      <c r="I38">
        <v>-1661114.1197393001</v>
      </c>
      <c r="J38">
        <v>124766.79104477599</v>
      </c>
      <c r="K38">
        <v>-660534.53068618197</v>
      </c>
      <c r="L38">
        <v>-478272.69900497497</v>
      </c>
      <c r="M38">
        <v>291949.028322561</v>
      </c>
      <c r="N38">
        <v>-62383.395522388098</v>
      </c>
      <c r="O38">
        <v>-544330.73804033699</v>
      </c>
      <c r="P38">
        <v>478272.69900497497</v>
      </c>
      <c r="Q38">
        <v>-1693074.0083113201</v>
      </c>
      <c r="R38">
        <v>124766.79104477599</v>
      </c>
      <c r="S38">
        <v>4987279.0302270604</v>
      </c>
      <c r="T38" s="3">
        <v>1.16415321826934E-10</v>
      </c>
      <c r="V38">
        <f t="shared" si="1"/>
        <v>0</v>
      </c>
      <c r="W38">
        <f t="shared" si="1"/>
        <v>0</v>
      </c>
      <c r="X38">
        <f t="shared" si="1"/>
        <v>-197912.65559736307</v>
      </c>
      <c r="Y38">
        <f t="shared" si="1"/>
        <v>-62383.395522388993</v>
      </c>
      <c r="Z38">
        <f t="shared" si="1"/>
        <v>381818.50262764294</v>
      </c>
      <c r="AA38">
        <f t="shared" si="1"/>
        <v>-124766.79104477598</v>
      </c>
      <c r="AB38">
        <f t="shared" si="1"/>
        <v>159297.25180293992</v>
      </c>
      <c r="AC38">
        <f t="shared" si="1"/>
        <v>-41588.930348258014</v>
      </c>
      <c r="AD38">
        <f t="shared" si="1"/>
        <v>0</v>
      </c>
      <c r="AE38">
        <f t="shared" si="1"/>
        <v>0</v>
      </c>
      <c r="AF38">
        <f t="shared" si="1"/>
        <v>-239467.39976942498</v>
      </c>
      <c r="AG38">
        <f t="shared" si="1"/>
        <v>-20794.465174129502</v>
      </c>
      <c r="AH38">
        <f t="shared" si="1"/>
        <v>218139.15035868902</v>
      </c>
      <c r="AI38">
        <f t="shared" si="1"/>
        <v>-41588.930348258</v>
      </c>
      <c r="AJ38">
        <f t="shared" si="1"/>
        <v>409836.47346011968</v>
      </c>
      <c r="AK38">
        <f t="shared" si="1"/>
        <v>-41588.930348258014</v>
      </c>
    </row>
    <row r="39" spans="2:37" x14ac:dyDescent="0.25">
      <c r="B39">
        <v>17</v>
      </c>
      <c r="C39">
        <v>-436683.76865671598</v>
      </c>
      <c r="D39">
        <v>-398443.20006554102</v>
      </c>
      <c r="E39">
        <v>-187150.186567164</v>
      </c>
      <c r="F39">
        <v>-1635396.6075849801</v>
      </c>
      <c r="G39">
        <v>436683.76865671598</v>
      </c>
      <c r="H39">
        <v>-606633.35887675104</v>
      </c>
      <c r="I39">
        <v>124766.79104477599</v>
      </c>
      <c r="J39">
        <v>324301.07478461298</v>
      </c>
      <c r="K39">
        <v>-478272.69900497497</v>
      </c>
      <c r="L39">
        <v>-562997.44346064702</v>
      </c>
      <c r="M39">
        <v>-62383.3955223882</v>
      </c>
      <c r="N39">
        <v>-1713945.5892761101</v>
      </c>
      <c r="O39">
        <v>478272.69900497497</v>
      </c>
      <c r="P39">
        <v>-709802.40638530406</v>
      </c>
      <c r="Q39">
        <v>124766.79104477599</v>
      </c>
      <c r="R39">
        <v>319415.09998269298</v>
      </c>
      <c r="S39" s="3">
        <v>1.16415321826934E-10</v>
      </c>
      <c r="T39">
        <v>4983502.4308820404</v>
      </c>
      <c r="V39">
        <f t="shared" ref="V39:AK39" si="2">(C39-C19)</f>
        <v>0</v>
      </c>
      <c r="W39">
        <f t="shared" si="2"/>
        <v>0</v>
      </c>
      <c r="X39">
        <f t="shared" si="2"/>
        <v>-62383.395522388993</v>
      </c>
      <c r="Y39">
        <f t="shared" si="2"/>
        <v>-266395.12058191001</v>
      </c>
      <c r="Z39">
        <f t="shared" si="2"/>
        <v>-124766.79104477598</v>
      </c>
      <c r="AA39">
        <f t="shared" si="2"/>
        <v>324669.74152553291</v>
      </c>
      <c r="AB39">
        <f t="shared" si="2"/>
        <v>-41588.930348258014</v>
      </c>
      <c r="AC39">
        <f t="shared" si="2"/>
        <v>123375.17339589997</v>
      </c>
      <c r="AD39">
        <f t="shared" si="2"/>
        <v>0</v>
      </c>
      <c r="AE39">
        <f t="shared" si="2"/>
        <v>0</v>
      </c>
      <c r="AF39">
        <f t="shared" si="2"/>
        <v>-20794.465174129604</v>
      </c>
      <c r="AG39">
        <f t="shared" si="2"/>
        <v>-317033.44546516007</v>
      </c>
      <c r="AH39">
        <f t="shared" si="2"/>
        <v>-41588.930348258</v>
      </c>
      <c r="AI39">
        <f t="shared" si="2"/>
        <v>-8255.3041249010712</v>
      </c>
      <c r="AJ39">
        <f t="shared" si="2"/>
        <v>-41588.930348258014</v>
      </c>
      <c r="AK39">
        <f t="shared" si="2"/>
        <v>298830.16029396717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NonSqDiffDir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Mirkovich</dc:creator>
  <cp:lastModifiedBy>Chad Mirkovich</cp:lastModifiedBy>
  <dcterms:created xsi:type="dcterms:W3CDTF">2025-11-12T05:06:17Z</dcterms:created>
  <dcterms:modified xsi:type="dcterms:W3CDTF">2025-11-12T05:06:52Z</dcterms:modified>
</cp:coreProperties>
</file>