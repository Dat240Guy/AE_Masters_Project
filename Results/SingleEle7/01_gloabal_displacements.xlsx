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Results\SingleEle7\"/>
    </mc:Choice>
  </mc:AlternateContent>
  <xr:revisionPtr revIDLastSave="0" documentId="8_{81821FFA-0CDA-4C04-BEF3-4E2139AC9D22}" xr6:coauthVersionLast="47" xr6:coauthVersionMax="47" xr10:uidLastSave="{00000000-0000-0000-0000-000000000000}"/>
  <bookViews>
    <workbookView xWindow="-28920" yWindow="-120" windowWidth="29040" windowHeight="15720" xr2:uid="{2A66861A-CDE0-45C9-9A78-8968018BDB2B}"/>
  </bookViews>
  <sheets>
    <sheet name="01_gloabal_displacements" sheetId="1" r:id="rId1"/>
  </sheets>
  <calcPr calcId="0"/>
</workbook>
</file>

<file path=xl/calcChain.xml><?xml version="1.0" encoding="utf-8"?>
<calcChain xmlns="http://schemas.openxmlformats.org/spreadsheetml/2006/main">
  <c r="N4" i="1" l="1"/>
  <c r="N5" i="1"/>
  <c r="N6" i="1"/>
  <c r="N7" i="1"/>
  <c r="N3" i="1"/>
  <c r="N2" i="1"/>
  <c r="J2" i="1"/>
  <c r="J3" i="1"/>
  <c r="J4" i="1"/>
  <c r="J5" i="1"/>
  <c r="J6" i="1"/>
  <c r="J7" i="1"/>
  <c r="K3" i="1"/>
  <c r="K4" i="1"/>
  <c r="K5" i="1"/>
  <c r="K6" i="1"/>
  <c r="K7" i="1"/>
  <c r="K2" i="1"/>
</calcChain>
</file>

<file path=xl/sharedStrings.xml><?xml version="1.0" encoding="utf-8"?>
<sst xmlns="http://schemas.openxmlformats.org/spreadsheetml/2006/main" count="9" uniqueCount="5">
  <si>
    <t>NID</t>
  </si>
  <si>
    <t>U1</t>
  </si>
  <si>
    <t>U2</t>
  </si>
  <si>
    <t>x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</si>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</sst>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'01_gloabal_displacements'!$J$1</c:f>
              <c:strCache>
                <c:ptCount val="1"/>
                <c:pt idx="0">
                  <c:v>U1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'01_gloabal_displacements'!$I$2:$I$7</c:f>
              <c:numCache>
                <c:formatCode>General</c:formatCode>
                <c:ptCount val="6"/>
                <c:pt idx="0">
                  <c:v>-3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xVal>
          <c:yVal>
            <c:numRef>
              <c:f>'01_gloabal_displacements'!$J$2:$J$7</c:f>
              <c:numCache>
                <c:formatCode>General</c:formatCode>
                <c:ptCount val="6"/>
                <c:pt idx="0">
                  <c:v>0</c:v>
                </c:pt>
                <c:pt idx="1">
                  <c:v>3.5733890661160902E-3</c:v>
                </c:pt>
                <c:pt idx="2">
                  <c:v>4.86658537742029E-3</c:v>
                </c:pt>
                <c:pt idx="3">
                  <c:v>6.1087481983599298E-3</c:v>
                </c:pt>
                <c:pt idx="4">
                  <c:v>7.8529491291134297E-3</c:v>
                </c:pt>
                <c:pt idx="5">
                  <c:v>9.6234679992277007E-3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E-40A9-BF76-75FB6A9EE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09775"/>
        <c:axId val="1599310735"/>
      </c:scatterChart>
      <c:valAx>
        <c:axId val="159930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10735"/>
        <c:crosses val="autoZero"/>
        <c:crossBetween val="midCat"/>
      </c:valAx>
      <c:valAx>
        <c:axId val="159931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0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'01_gloabal_displacements'!$N$1</c:f>
              <c:strCache>
                <c:ptCount val="1"/>
                <c:pt idx="0">
                  <c:v>Strain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'01_gloabal_displacements'!$M$2:$M$7</c:f>
              <c:numCache>
                <c:formatCode>General</c:formatCode>
                <c:ptCount val="6"/>
                <c:pt idx="0">
                  <c:v>-3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xVal>
          <c:yVal>
            <c:numRef>
              <c:f>'01_gloabal_displacements'!$N$2:$N$7</c:f>
              <c:numCache>
                <c:formatCode>General</c:formatCode>
                <c:ptCount val="6"/>
                <c:pt idx="0">
                  <c:v>0</c:v>
                </c:pt>
                <c:pt idx="1">
                  <c:v>3.5733890661160902E-3</c:v>
                </c:pt>
                <c:pt idx="2">
                  <c:v>1.2931963113041998E-3</c:v>
                </c:pt>
                <c:pt idx="3">
                  <c:v>1.2421628209396398E-3</c:v>
                </c:pt>
                <c:pt idx="4">
                  <c:v>1.7442009307534999E-3</c:v>
                </c:pt>
                <c:pt idx="5">
                  <c:v>1.770518870114271E-3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35-44FE-B767-EC9AA195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638447"/>
        <c:axId val="1718640847"/>
      </c:scatterChart>
      <c:valAx>
        <c:axId val="171863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640847"/>
        <c:crosses val="autoZero"/>
        <c:crossBetween val="midCat"/>
      </c:valAx>
      <c:valAx>
        <c:axId val="17186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63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8</xdr:row>
      <xdr:rowOff>185737</xdr:rowOff>
    </xdr:from>
    <xdr:to>
      <xdr:col>13</xdr:col>
      <xdr:colOff>38100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6EB4F-3A39-00AE-E5F9-29EE73725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76200</xdr:colOff>
      <xdr:row>8</xdr:row>
      <xdr:rowOff>176212</xdr:rowOff>
    </xdr:from>
    <xdr:to>
      <xdr:col>21</xdr:col>
      <xdr:colOff>381000</xdr:colOff>
      <xdr:row>23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6A7B0D-9238-EBC0-FD4E-9EB1D11E6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2E97-2642-4EFD-BC58-E74B62C45ACE}">
  <dimension ref="A1:N16"/>
  <sheetViews>
    <sheetView tabSelected="1" workbookViewId="0">
      <selection activeCell="N3" sqref="N3"/>
    </sheetView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H1" t="s">
        <v>0</v>
      </c>
      <c r="I1" t="s">
        <v>3</v>
      </c>
      <c r="J1" t="s">
        <v>1</v>
      </c>
      <c r="K1" t="s">
        <v>2</v>
      </c>
      <c r="M1" t="s">
        <v>3</v>
      </c>
      <c r="N1" t="s">
        <v>4</v>
      </c>
    </row>
    <row r="2" spans="1:14" x14ac:dyDescent="0.25">
      <c r="A2">
        <v>0</v>
      </c>
      <c r="B2">
        <v>1</v>
      </c>
      <c r="C2">
        <v>3.5733890661160902E-3</v>
      </c>
      <c r="D2">
        <v>7.3385993855637E-4</v>
      </c>
      <c r="H2">
        <v>12</v>
      </c>
      <c r="I2">
        <v>-3</v>
      </c>
      <c r="J2">
        <f>INDEX(C:C,MATCH($H2,$B:$B,0))</f>
        <v>0</v>
      </c>
      <c r="K2">
        <f>INDEX(D:D,MATCH($H2,$B:$B,0))</f>
        <v>0</v>
      </c>
      <c r="M2">
        <v>-3</v>
      </c>
      <c r="N2">
        <f>0</f>
        <v>0</v>
      </c>
    </row>
    <row r="3" spans="1:14" x14ac:dyDescent="0.25">
      <c r="A3">
        <v>1</v>
      </c>
      <c r="B3">
        <v>4</v>
      </c>
      <c r="C3">
        <v>3.5733890661161301E-3</v>
      </c>
      <c r="D3">
        <v>-7.3385993855640405E-4</v>
      </c>
      <c r="H3">
        <v>1</v>
      </c>
      <c r="I3">
        <v>-1</v>
      </c>
      <c r="J3">
        <f t="shared" ref="J3:J7" si="0">INDEX(C:C,MATCH($H3,$B:$B,0))</f>
        <v>3.5733890661160902E-3</v>
      </c>
      <c r="K3">
        <f t="shared" ref="K3:K7" si="1">INDEX(D:D,MATCH($H3,$B:$B,0))</f>
        <v>7.3385993855637E-4</v>
      </c>
      <c r="M3">
        <v>-1</v>
      </c>
      <c r="N3">
        <f>J3-J2</f>
        <v>3.5733890661160902E-3</v>
      </c>
    </row>
    <row r="4" spans="1:14" x14ac:dyDescent="0.25">
      <c r="A4">
        <v>2</v>
      </c>
      <c r="B4">
        <v>11</v>
      </c>
      <c r="C4">
        <v>0</v>
      </c>
      <c r="D4">
        <v>0</v>
      </c>
      <c r="H4">
        <v>15</v>
      </c>
      <c r="I4">
        <v>0</v>
      </c>
      <c r="J4">
        <f t="shared" si="0"/>
        <v>4.86658537742029E-3</v>
      </c>
      <c r="K4">
        <f t="shared" si="1"/>
        <v>2.1096836396314799E-4</v>
      </c>
      <c r="M4">
        <v>0</v>
      </c>
      <c r="N4">
        <f t="shared" ref="N4:N7" si="2">J4-J3</f>
        <v>1.2931963113041998E-3</v>
      </c>
    </row>
    <row r="5" spans="1:14" x14ac:dyDescent="0.25">
      <c r="A5">
        <v>3</v>
      </c>
      <c r="B5">
        <v>12</v>
      </c>
      <c r="C5">
        <v>0</v>
      </c>
      <c r="D5">
        <v>0</v>
      </c>
      <c r="H5">
        <v>13</v>
      </c>
      <c r="I5">
        <v>1</v>
      </c>
      <c r="J5">
        <f t="shared" si="0"/>
        <v>6.1087481983599298E-3</v>
      </c>
      <c r="K5">
        <f t="shared" si="1"/>
        <v>4.2456605755895503E-4</v>
      </c>
      <c r="M5">
        <v>1</v>
      </c>
      <c r="N5">
        <f t="shared" si="2"/>
        <v>1.2421628209396398E-3</v>
      </c>
    </row>
    <row r="6" spans="1:14" x14ac:dyDescent="0.25">
      <c r="A6">
        <v>4</v>
      </c>
      <c r="B6">
        <v>13</v>
      </c>
      <c r="C6">
        <v>6.1087481983599298E-3</v>
      </c>
      <c r="D6">
        <v>4.2456605755895503E-4</v>
      </c>
      <c r="H6">
        <v>23</v>
      </c>
      <c r="I6">
        <v>2</v>
      </c>
      <c r="J6">
        <f t="shared" si="0"/>
        <v>7.8529491291134297E-3</v>
      </c>
      <c r="K6">
        <f t="shared" si="1"/>
        <v>6.4714956348042602E-4</v>
      </c>
      <c r="M6">
        <v>2</v>
      </c>
      <c r="N6">
        <f t="shared" si="2"/>
        <v>1.7442009307534999E-3</v>
      </c>
    </row>
    <row r="7" spans="1:14" x14ac:dyDescent="0.25">
      <c r="A7">
        <v>5</v>
      </c>
      <c r="B7">
        <v>14</v>
      </c>
      <c r="C7">
        <v>6.1087481983599801E-3</v>
      </c>
      <c r="D7">
        <v>-4.24566057559079E-4</v>
      </c>
      <c r="H7">
        <v>20</v>
      </c>
      <c r="I7">
        <v>3</v>
      </c>
      <c r="J7">
        <f t="shared" si="0"/>
        <v>9.6234679992277007E-3</v>
      </c>
      <c r="K7">
        <f t="shared" si="1"/>
        <v>5.8406872035142996E-4</v>
      </c>
      <c r="M7">
        <v>3</v>
      </c>
      <c r="N7">
        <f t="shared" si="2"/>
        <v>1.770518870114271E-3</v>
      </c>
    </row>
    <row r="8" spans="1:14" x14ac:dyDescent="0.25">
      <c r="A8">
        <v>6</v>
      </c>
      <c r="B8">
        <v>15</v>
      </c>
      <c r="C8">
        <v>4.86658537742029E-3</v>
      </c>
      <c r="D8">
        <v>2.1096836396314799E-4</v>
      </c>
    </row>
    <row r="9" spans="1:14" x14ac:dyDescent="0.25">
      <c r="A9">
        <v>7</v>
      </c>
      <c r="B9">
        <v>16</v>
      </c>
      <c r="C9">
        <v>5.8726216979055803E-3</v>
      </c>
      <c r="D9" s="1">
        <v>-6.1174275353786796E-17</v>
      </c>
    </row>
    <row r="10" spans="1:14" x14ac:dyDescent="0.25">
      <c r="A10">
        <v>8</v>
      </c>
      <c r="B10">
        <v>17</v>
      </c>
      <c r="C10">
        <v>4.8665853774203299E-3</v>
      </c>
      <c r="D10">
        <v>-2.1096836396322299E-4</v>
      </c>
    </row>
    <row r="11" spans="1:14" x14ac:dyDescent="0.25">
      <c r="A11">
        <v>9</v>
      </c>
      <c r="B11">
        <v>18</v>
      </c>
      <c r="C11">
        <v>5.0496317132006398E-3</v>
      </c>
      <c r="D11" s="1">
        <v>-1.5892399950511699E-17</v>
      </c>
    </row>
    <row r="12" spans="1:14" x14ac:dyDescent="0.25">
      <c r="A12">
        <v>10</v>
      </c>
      <c r="B12">
        <v>20</v>
      </c>
      <c r="C12">
        <v>9.6234679992277007E-3</v>
      </c>
      <c r="D12">
        <v>5.8406872035142996E-4</v>
      </c>
    </row>
    <row r="13" spans="1:14" x14ac:dyDescent="0.25">
      <c r="A13">
        <v>11</v>
      </c>
      <c r="B13">
        <v>21</v>
      </c>
      <c r="C13">
        <v>9.6234679992277597E-3</v>
      </c>
      <c r="D13">
        <v>-5.8406872035167E-4</v>
      </c>
    </row>
    <row r="14" spans="1:14" x14ac:dyDescent="0.25">
      <c r="A14">
        <v>12</v>
      </c>
      <c r="B14">
        <v>23</v>
      </c>
      <c r="C14">
        <v>7.8529491291134297E-3</v>
      </c>
      <c r="D14">
        <v>6.4714956348042602E-4</v>
      </c>
    </row>
    <row r="15" spans="1:14" x14ac:dyDescent="0.25">
      <c r="A15">
        <v>13</v>
      </c>
      <c r="B15">
        <v>24</v>
      </c>
      <c r="C15">
        <v>9.7056281773128597E-3</v>
      </c>
      <c r="D15" s="1">
        <v>-1.20134308797384E-16</v>
      </c>
    </row>
    <row r="16" spans="1:14" x14ac:dyDescent="0.25">
      <c r="A16">
        <v>14</v>
      </c>
      <c r="B16">
        <v>25</v>
      </c>
      <c r="C16">
        <v>7.8529491291134904E-3</v>
      </c>
      <c r="D16">
        <v>-6.47149563480606E-4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01_gloabal_displacements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Mirkovich</cp:lastModifiedBy>
  <dcterms:created xsi:type="dcterms:W3CDTF">2025-12-03T04:24:56Z</dcterms:created>
  <dcterms:modified xsi:type="dcterms:W3CDTF">2025-12-03T04:24:56Z</dcterms:modified>
</cp:coreProperties>
</file>